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j\source\repos\Tote Betting\Example Responses\"/>
    </mc:Choice>
  </mc:AlternateContent>
  <xr:revisionPtr revIDLastSave="0" documentId="13_ncr:1_{108F4C44-5A4E-4F50-8982-2BE430C38654}" xr6:coauthVersionLast="47" xr6:coauthVersionMax="47" xr10:uidLastSave="{00000000-0000-0000-0000-000000000000}"/>
  <bookViews>
    <workbookView xWindow="-28920" yWindow="-120" windowWidth="29040" windowHeight="15720" activeTab="2" xr2:uid="{4708AFEB-6419-45BC-9D61-5172ACC27A5A}"/>
  </bookViews>
  <sheets>
    <sheet name="AYR RACE 7 - WIN" sheetId="1" r:id="rId1"/>
    <sheet name="AYR RACE 7 -EXACTA" sheetId="3" r:id="rId2"/>
    <sheet name="AYR RACE 7 -TRIFECT" sheetId="4" r:id="rId3"/>
  </sheets>
  <definedNames>
    <definedName name="_xlnm._FilterDatabase" localSheetId="1" hidden="1">'AYR RACE 7 -EXACTA'!$A$1:$M$99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J7" i="4"/>
  <c r="L9" i="4"/>
  <c r="L10" i="4"/>
  <c r="J11" i="4"/>
  <c r="M11" i="4" s="1"/>
  <c r="L14" i="4"/>
  <c r="K15" i="4"/>
  <c r="J19" i="4"/>
  <c r="M19" i="4" s="1"/>
  <c r="K22" i="4"/>
  <c r="L25" i="4"/>
  <c r="K26" i="4"/>
  <c r="L29" i="4"/>
  <c r="J30" i="4"/>
  <c r="M30" i="4" s="1"/>
  <c r="L33" i="4"/>
  <c r="J34" i="4"/>
  <c r="M34" i="4" s="1"/>
  <c r="J37" i="4"/>
  <c r="M37" i="4" s="1"/>
  <c r="L41" i="4"/>
  <c r="J44" i="4"/>
  <c r="M44" i="4" s="1"/>
  <c r="K44" i="4"/>
  <c r="I3" i="4"/>
  <c r="L3" i="4" s="1"/>
  <c r="I4" i="4"/>
  <c r="L4" i="4" s="1"/>
  <c r="I5" i="4"/>
  <c r="L5" i="4" s="1"/>
  <c r="I6" i="4"/>
  <c r="L6" i="4" s="1"/>
  <c r="I7" i="4"/>
  <c r="L7" i="4" s="1"/>
  <c r="I8" i="4"/>
  <c r="L8" i="4" s="1"/>
  <c r="I9" i="4"/>
  <c r="I10" i="4"/>
  <c r="I11" i="4"/>
  <c r="L11" i="4" s="1"/>
  <c r="I12" i="4"/>
  <c r="L12" i="4" s="1"/>
  <c r="I13" i="4"/>
  <c r="L13" i="4" s="1"/>
  <c r="I14" i="4"/>
  <c r="I15" i="4"/>
  <c r="L15" i="4" s="1"/>
  <c r="I16" i="4"/>
  <c r="L16" i="4" s="1"/>
  <c r="I17" i="4"/>
  <c r="L17" i="4" s="1"/>
  <c r="I18" i="4"/>
  <c r="L18" i="4" s="1"/>
  <c r="I19" i="4"/>
  <c r="L19" i="4" s="1"/>
  <c r="I20" i="4"/>
  <c r="L20" i="4" s="1"/>
  <c r="I21" i="4"/>
  <c r="L21" i="4" s="1"/>
  <c r="I22" i="4"/>
  <c r="L22" i="4" s="1"/>
  <c r="I23" i="4"/>
  <c r="L23" i="4" s="1"/>
  <c r="I24" i="4"/>
  <c r="L24" i="4" s="1"/>
  <c r="I25" i="4"/>
  <c r="I26" i="4"/>
  <c r="L26" i="4" s="1"/>
  <c r="I27" i="4"/>
  <c r="L27" i="4" s="1"/>
  <c r="I28" i="4"/>
  <c r="L28" i="4" s="1"/>
  <c r="I29" i="4"/>
  <c r="I30" i="4"/>
  <c r="L30" i="4" s="1"/>
  <c r="I31" i="4"/>
  <c r="L31" i="4" s="1"/>
  <c r="I32" i="4"/>
  <c r="L32" i="4" s="1"/>
  <c r="I33" i="4"/>
  <c r="I34" i="4"/>
  <c r="L34" i="4" s="1"/>
  <c r="I35" i="4"/>
  <c r="L35" i="4" s="1"/>
  <c r="I36" i="4"/>
  <c r="L36" i="4" s="1"/>
  <c r="I37" i="4"/>
  <c r="L37" i="4" s="1"/>
  <c r="I38" i="4"/>
  <c r="L38" i="4" s="1"/>
  <c r="I39" i="4"/>
  <c r="L39" i="4" s="1"/>
  <c r="I40" i="4"/>
  <c r="L40" i="4" s="1"/>
  <c r="I41" i="4"/>
  <c r="I42" i="4"/>
  <c r="L42" i="4" s="1"/>
  <c r="I43" i="4"/>
  <c r="L43" i="4" s="1"/>
  <c r="I44" i="4"/>
  <c r="L44" i="4" s="1"/>
  <c r="I45" i="4"/>
  <c r="L45" i="4" s="1"/>
  <c r="I46" i="4"/>
  <c r="L46" i="4" s="1"/>
  <c r="I47" i="4"/>
  <c r="L47" i="4" s="1"/>
  <c r="I2" i="4"/>
  <c r="L2" i="4" s="1"/>
  <c r="H47" i="4"/>
  <c r="K47" i="4" s="1"/>
  <c r="G47" i="4"/>
  <c r="J47" i="4" s="1"/>
  <c r="M47" i="4" s="1"/>
  <c r="E47" i="4"/>
  <c r="H46" i="4"/>
  <c r="K46" i="4" s="1"/>
  <c r="G46" i="4"/>
  <c r="J46" i="4" s="1"/>
  <c r="M46" i="4" s="1"/>
  <c r="E46" i="4"/>
  <c r="H45" i="4"/>
  <c r="K45" i="4" s="1"/>
  <c r="G45" i="4"/>
  <c r="J45" i="4" s="1"/>
  <c r="E45" i="4"/>
  <c r="H44" i="4"/>
  <c r="G44" i="4"/>
  <c r="E44" i="4"/>
  <c r="H43" i="4"/>
  <c r="K43" i="4" s="1"/>
  <c r="G43" i="4"/>
  <c r="J43" i="4" s="1"/>
  <c r="E43" i="4"/>
  <c r="H42" i="4"/>
  <c r="K42" i="4" s="1"/>
  <c r="G42" i="4"/>
  <c r="J42" i="4" s="1"/>
  <c r="E42" i="4"/>
  <c r="H41" i="4"/>
  <c r="K41" i="4" s="1"/>
  <c r="G41" i="4"/>
  <c r="J41" i="4" s="1"/>
  <c r="E41" i="4"/>
  <c r="H40" i="4"/>
  <c r="K40" i="4" s="1"/>
  <c r="G40" i="4"/>
  <c r="J40" i="4" s="1"/>
  <c r="M40" i="4" s="1"/>
  <c r="E40" i="4"/>
  <c r="H39" i="4"/>
  <c r="K39" i="4" s="1"/>
  <c r="G39" i="4"/>
  <c r="J39" i="4" s="1"/>
  <c r="E39" i="4"/>
  <c r="H38" i="4"/>
  <c r="K38" i="4" s="1"/>
  <c r="G38" i="4"/>
  <c r="J38" i="4" s="1"/>
  <c r="M38" i="4" s="1"/>
  <c r="E38" i="4"/>
  <c r="H37" i="4"/>
  <c r="K37" i="4" s="1"/>
  <c r="G37" i="4"/>
  <c r="E37" i="4"/>
  <c r="H36" i="4"/>
  <c r="K36" i="4" s="1"/>
  <c r="G36" i="4"/>
  <c r="J36" i="4" s="1"/>
  <c r="E36" i="4"/>
  <c r="H35" i="4"/>
  <c r="K35" i="4" s="1"/>
  <c r="G35" i="4"/>
  <c r="J35" i="4" s="1"/>
  <c r="E35" i="4"/>
  <c r="H34" i="4"/>
  <c r="K34" i="4" s="1"/>
  <c r="G34" i="4"/>
  <c r="E34" i="4"/>
  <c r="H33" i="4"/>
  <c r="K33" i="4" s="1"/>
  <c r="G33" i="4"/>
  <c r="J33" i="4" s="1"/>
  <c r="M33" i="4" s="1"/>
  <c r="E33" i="4"/>
  <c r="H32" i="4"/>
  <c r="K32" i="4" s="1"/>
  <c r="G32" i="4"/>
  <c r="J32" i="4" s="1"/>
  <c r="E32" i="4"/>
  <c r="F48" i="3"/>
  <c r="H48" i="3" s="1"/>
  <c r="G48" i="3"/>
  <c r="I48" i="3" s="1"/>
  <c r="F49" i="3"/>
  <c r="G49" i="3"/>
  <c r="I49" i="3" s="1"/>
  <c r="F50" i="3"/>
  <c r="H50" i="3" s="1"/>
  <c r="G50" i="3"/>
  <c r="I50" i="3" s="1"/>
  <c r="F51" i="3"/>
  <c r="H51" i="3" s="1"/>
  <c r="G51" i="3"/>
  <c r="I51" i="3" s="1"/>
  <c r="F52" i="3"/>
  <c r="H52" i="3" s="1"/>
  <c r="G52" i="3"/>
  <c r="I52" i="3" s="1"/>
  <c r="F53" i="3"/>
  <c r="H53" i="3" s="1"/>
  <c r="G53" i="3"/>
  <c r="I53" i="3" s="1"/>
  <c r="F54" i="3"/>
  <c r="H54" i="3" s="1"/>
  <c r="G54" i="3"/>
  <c r="I54" i="3" s="1"/>
  <c r="F55" i="3"/>
  <c r="H55" i="3" s="1"/>
  <c r="G55" i="3"/>
  <c r="I55" i="3" s="1"/>
  <c r="F56" i="3"/>
  <c r="H56" i="3" s="1"/>
  <c r="G56" i="3"/>
  <c r="I56" i="3" s="1"/>
  <c r="F57" i="3"/>
  <c r="G57" i="3"/>
  <c r="I57" i="3" s="1"/>
  <c r="F58" i="3"/>
  <c r="H58" i="3" s="1"/>
  <c r="G58" i="3"/>
  <c r="I58" i="3" s="1"/>
  <c r="F59" i="3"/>
  <c r="H59" i="3" s="1"/>
  <c r="G59" i="3"/>
  <c r="I59" i="3" s="1"/>
  <c r="F60" i="3"/>
  <c r="H60" i="3" s="1"/>
  <c r="G60" i="3"/>
  <c r="I60" i="3" s="1"/>
  <c r="F61" i="3"/>
  <c r="H61" i="3" s="1"/>
  <c r="G61" i="3"/>
  <c r="I61" i="3" s="1"/>
  <c r="F62" i="3"/>
  <c r="H62" i="3" s="1"/>
  <c r="G62" i="3"/>
  <c r="I62" i="3" s="1"/>
  <c r="F63" i="3"/>
  <c r="H63" i="3" s="1"/>
  <c r="G63" i="3"/>
  <c r="I63" i="3" s="1"/>
  <c r="F64" i="3"/>
  <c r="H64" i="3" s="1"/>
  <c r="G64" i="3"/>
  <c r="I64" i="3" s="1"/>
  <c r="F65" i="3"/>
  <c r="G65" i="3"/>
  <c r="I65" i="3" s="1"/>
  <c r="F66" i="3"/>
  <c r="H66" i="3" s="1"/>
  <c r="G66" i="3"/>
  <c r="I66" i="3" s="1"/>
  <c r="F67" i="3"/>
  <c r="H67" i="3" s="1"/>
  <c r="G67" i="3"/>
  <c r="I67" i="3" s="1"/>
  <c r="F68" i="3"/>
  <c r="H68" i="3" s="1"/>
  <c r="G68" i="3"/>
  <c r="I68" i="3" s="1"/>
  <c r="F69" i="3"/>
  <c r="H69" i="3" s="1"/>
  <c r="G69" i="3"/>
  <c r="I69" i="3" s="1"/>
  <c r="F70" i="3"/>
  <c r="H70" i="3" s="1"/>
  <c r="G70" i="3"/>
  <c r="I70" i="3" s="1"/>
  <c r="F71" i="3"/>
  <c r="G71" i="3"/>
  <c r="I71" i="3" s="1"/>
  <c r="F72" i="3"/>
  <c r="G72" i="3"/>
  <c r="I72" i="3" s="1"/>
  <c r="F73" i="3"/>
  <c r="G73" i="3"/>
  <c r="I73" i="3" s="1"/>
  <c r="F74" i="3"/>
  <c r="G74" i="3"/>
  <c r="I74" i="3" s="1"/>
  <c r="F75" i="3"/>
  <c r="H75" i="3" s="1"/>
  <c r="G75" i="3"/>
  <c r="I75" i="3" s="1"/>
  <c r="F76" i="3"/>
  <c r="H76" i="3" s="1"/>
  <c r="G76" i="3"/>
  <c r="I76" i="3" s="1"/>
  <c r="F77" i="3"/>
  <c r="E77" i="3" s="1"/>
  <c r="G77" i="3"/>
  <c r="I77" i="3" s="1"/>
  <c r="F78" i="3"/>
  <c r="H78" i="3" s="1"/>
  <c r="G78" i="3"/>
  <c r="I78" i="3" s="1"/>
  <c r="F79" i="3"/>
  <c r="H79" i="3" s="1"/>
  <c r="G79" i="3"/>
  <c r="I79" i="3" s="1"/>
  <c r="F80" i="3"/>
  <c r="H80" i="3" s="1"/>
  <c r="G80" i="3"/>
  <c r="I80" i="3" s="1"/>
  <c r="F81" i="3"/>
  <c r="G81" i="3"/>
  <c r="I81" i="3" s="1"/>
  <c r="F82" i="3"/>
  <c r="H82" i="3" s="1"/>
  <c r="G82" i="3"/>
  <c r="I82" i="3" s="1"/>
  <c r="F83" i="3"/>
  <c r="H83" i="3" s="1"/>
  <c r="G83" i="3"/>
  <c r="I83" i="3" s="1"/>
  <c r="F84" i="3"/>
  <c r="G84" i="3"/>
  <c r="I84" i="3" s="1"/>
  <c r="F85" i="3"/>
  <c r="H85" i="3" s="1"/>
  <c r="G85" i="3"/>
  <c r="I85" i="3" s="1"/>
  <c r="F86" i="3"/>
  <c r="H86" i="3" s="1"/>
  <c r="G86" i="3"/>
  <c r="I86" i="3" s="1"/>
  <c r="F87" i="3"/>
  <c r="G87" i="3"/>
  <c r="I87" i="3" s="1"/>
  <c r="F88" i="3"/>
  <c r="H88" i="3" s="1"/>
  <c r="G88" i="3"/>
  <c r="I88" i="3" s="1"/>
  <c r="F89" i="3"/>
  <c r="G89" i="3"/>
  <c r="I89" i="3" s="1"/>
  <c r="F90" i="3"/>
  <c r="H90" i="3" s="1"/>
  <c r="G90" i="3"/>
  <c r="I90" i="3" s="1"/>
  <c r="F91" i="3"/>
  <c r="H91" i="3" s="1"/>
  <c r="G91" i="3"/>
  <c r="I91" i="3" s="1"/>
  <c r="F92" i="3"/>
  <c r="H92" i="3" s="1"/>
  <c r="G92" i="3"/>
  <c r="I92" i="3" s="1"/>
  <c r="F93" i="3"/>
  <c r="H93" i="3" s="1"/>
  <c r="G93" i="3"/>
  <c r="I93" i="3" s="1"/>
  <c r="F94" i="3"/>
  <c r="H94" i="3" s="1"/>
  <c r="G94" i="3"/>
  <c r="I94" i="3" s="1"/>
  <c r="F95" i="3"/>
  <c r="H95" i="3" s="1"/>
  <c r="G95" i="3"/>
  <c r="I95" i="3" s="1"/>
  <c r="F96" i="3"/>
  <c r="H96" i="3" s="1"/>
  <c r="G96" i="3"/>
  <c r="I96" i="3" s="1"/>
  <c r="F97" i="3"/>
  <c r="G97" i="3"/>
  <c r="I97" i="3" s="1"/>
  <c r="F98" i="3"/>
  <c r="H98" i="3" s="1"/>
  <c r="G98" i="3"/>
  <c r="I98" i="3" s="1"/>
  <c r="F99" i="3"/>
  <c r="H99" i="3" s="1"/>
  <c r="G99" i="3"/>
  <c r="I99" i="3" s="1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32" i="3"/>
  <c r="F32" i="3"/>
  <c r="H32" i="3" s="1"/>
  <c r="G32" i="3"/>
  <c r="I32" i="3" s="1"/>
  <c r="D33" i="3"/>
  <c r="F33" i="3"/>
  <c r="G33" i="3"/>
  <c r="I33" i="3" s="1"/>
  <c r="D34" i="3"/>
  <c r="F34" i="3"/>
  <c r="H34" i="3" s="1"/>
  <c r="G34" i="3"/>
  <c r="I34" i="3" s="1"/>
  <c r="D35" i="3"/>
  <c r="F35" i="3"/>
  <c r="H35" i="3" s="1"/>
  <c r="G35" i="3"/>
  <c r="I35" i="3" s="1"/>
  <c r="D36" i="3"/>
  <c r="F36" i="3"/>
  <c r="G36" i="3"/>
  <c r="I36" i="3" s="1"/>
  <c r="D37" i="3"/>
  <c r="F37" i="3"/>
  <c r="G37" i="3"/>
  <c r="I37" i="3" s="1"/>
  <c r="D38" i="3"/>
  <c r="F38" i="3"/>
  <c r="E38" i="3" s="1"/>
  <c r="G38" i="3"/>
  <c r="I38" i="3" s="1"/>
  <c r="D39" i="3"/>
  <c r="F39" i="3"/>
  <c r="G39" i="3"/>
  <c r="I39" i="3" s="1"/>
  <c r="D40" i="3"/>
  <c r="F40" i="3"/>
  <c r="G40" i="3"/>
  <c r="I40" i="3" s="1"/>
  <c r="D41" i="3"/>
  <c r="F41" i="3"/>
  <c r="G41" i="3"/>
  <c r="I41" i="3" s="1"/>
  <c r="D42" i="3"/>
  <c r="F42" i="3"/>
  <c r="H42" i="3" s="1"/>
  <c r="G42" i="3"/>
  <c r="I42" i="3" s="1"/>
  <c r="D43" i="3"/>
  <c r="F43" i="3"/>
  <c r="H43" i="3" s="1"/>
  <c r="G43" i="3"/>
  <c r="I43" i="3" s="1"/>
  <c r="D44" i="3"/>
  <c r="F44" i="3"/>
  <c r="H44" i="3" s="1"/>
  <c r="G44" i="3"/>
  <c r="I44" i="3" s="1"/>
  <c r="D45" i="3"/>
  <c r="F45" i="3"/>
  <c r="G45" i="3"/>
  <c r="I45" i="3" s="1"/>
  <c r="D46" i="3"/>
  <c r="F46" i="3"/>
  <c r="H46" i="3" s="1"/>
  <c r="G46" i="3"/>
  <c r="I46" i="3" s="1"/>
  <c r="D47" i="3"/>
  <c r="F47" i="3"/>
  <c r="H47" i="3" s="1"/>
  <c r="G47" i="3"/>
  <c r="I47" i="3" s="1"/>
  <c r="E3" i="1"/>
  <c r="E4" i="1"/>
  <c r="E5" i="1"/>
  <c r="E6" i="1"/>
  <c r="E7" i="1"/>
  <c r="E8" i="1"/>
  <c r="E9" i="1"/>
  <c r="E10" i="1"/>
  <c r="E11" i="1"/>
  <c r="E12" i="1"/>
  <c r="E2" i="1"/>
  <c r="H31" i="4"/>
  <c r="K31" i="4" s="1"/>
  <c r="G31" i="4"/>
  <c r="J31" i="4" s="1"/>
  <c r="M31" i="4" s="1"/>
  <c r="E31" i="4"/>
  <c r="H30" i="4"/>
  <c r="K30" i="4" s="1"/>
  <c r="G30" i="4"/>
  <c r="E30" i="4"/>
  <c r="H29" i="4"/>
  <c r="K29" i="4" s="1"/>
  <c r="G29" i="4"/>
  <c r="J29" i="4" s="1"/>
  <c r="E29" i="4"/>
  <c r="H28" i="4"/>
  <c r="K28" i="4" s="1"/>
  <c r="G28" i="4"/>
  <c r="J28" i="4" s="1"/>
  <c r="M28" i="4" s="1"/>
  <c r="E28" i="4"/>
  <c r="H27" i="4"/>
  <c r="K27" i="4" s="1"/>
  <c r="G27" i="4"/>
  <c r="J27" i="4" s="1"/>
  <c r="E27" i="4"/>
  <c r="H26" i="4"/>
  <c r="G26" i="4"/>
  <c r="J26" i="4" s="1"/>
  <c r="E26" i="4"/>
  <c r="H25" i="4"/>
  <c r="K25" i="4" s="1"/>
  <c r="G25" i="4"/>
  <c r="J25" i="4" s="1"/>
  <c r="E25" i="4"/>
  <c r="H24" i="4"/>
  <c r="K24" i="4" s="1"/>
  <c r="G24" i="4"/>
  <c r="J24" i="4" s="1"/>
  <c r="M24" i="4" s="1"/>
  <c r="E24" i="4"/>
  <c r="H23" i="4"/>
  <c r="K23" i="4" s="1"/>
  <c r="G23" i="4"/>
  <c r="J23" i="4" s="1"/>
  <c r="E23" i="4"/>
  <c r="H22" i="4"/>
  <c r="G22" i="4"/>
  <c r="J22" i="4" s="1"/>
  <c r="M22" i="4" s="1"/>
  <c r="E22" i="4"/>
  <c r="H21" i="4"/>
  <c r="K21" i="4" s="1"/>
  <c r="G21" i="4"/>
  <c r="J21" i="4" s="1"/>
  <c r="M21" i="4" s="1"/>
  <c r="E21" i="4"/>
  <c r="H20" i="4"/>
  <c r="K20" i="4" s="1"/>
  <c r="G20" i="4"/>
  <c r="J20" i="4" s="1"/>
  <c r="E20" i="4"/>
  <c r="H19" i="4"/>
  <c r="K19" i="4" s="1"/>
  <c r="G19" i="4"/>
  <c r="E19" i="4"/>
  <c r="H18" i="4"/>
  <c r="K18" i="4" s="1"/>
  <c r="G18" i="4"/>
  <c r="J18" i="4" s="1"/>
  <c r="E18" i="4"/>
  <c r="H17" i="4"/>
  <c r="K17" i="4" s="1"/>
  <c r="G17" i="4"/>
  <c r="J17" i="4" s="1"/>
  <c r="M17" i="4" s="1"/>
  <c r="E17" i="4"/>
  <c r="H16" i="4"/>
  <c r="K16" i="4" s="1"/>
  <c r="G16" i="4"/>
  <c r="J16" i="4" s="1"/>
  <c r="E16" i="4"/>
  <c r="H15" i="4"/>
  <c r="G15" i="4"/>
  <c r="J15" i="4" s="1"/>
  <c r="M15" i="4" s="1"/>
  <c r="E15" i="4"/>
  <c r="H14" i="4"/>
  <c r="K14" i="4" s="1"/>
  <c r="G14" i="4"/>
  <c r="J14" i="4" s="1"/>
  <c r="M14" i="4" s="1"/>
  <c r="E14" i="4"/>
  <c r="H13" i="4"/>
  <c r="K13" i="4" s="1"/>
  <c r="G13" i="4"/>
  <c r="J13" i="4" s="1"/>
  <c r="E13" i="4"/>
  <c r="H12" i="4"/>
  <c r="K12" i="4" s="1"/>
  <c r="G12" i="4"/>
  <c r="J12" i="4" s="1"/>
  <c r="M12" i="4" s="1"/>
  <c r="E12" i="4"/>
  <c r="H11" i="4"/>
  <c r="K11" i="4" s="1"/>
  <c r="G11" i="4"/>
  <c r="E11" i="4"/>
  <c r="H10" i="4"/>
  <c r="K10" i="4" s="1"/>
  <c r="G10" i="4"/>
  <c r="J10" i="4" s="1"/>
  <c r="E10" i="4"/>
  <c r="H9" i="4"/>
  <c r="K9" i="4" s="1"/>
  <c r="G9" i="4"/>
  <c r="J9" i="4" s="1"/>
  <c r="E9" i="4"/>
  <c r="H8" i="4"/>
  <c r="K8" i="4" s="1"/>
  <c r="G8" i="4"/>
  <c r="J8" i="4" s="1"/>
  <c r="M8" i="4" s="1"/>
  <c r="E8" i="4"/>
  <c r="H7" i="4"/>
  <c r="K7" i="4" s="1"/>
  <c r="G7" i="4"/>
  <c r="E7" i="4"/>
  <c r="H6" i="4"/>
  <c r="K6" i="4" s="1"/>
  <c r="G6" i="4"/>
  <c r="J6" i="4" s="1"/>
  <c r="M6" i="4" s="1"/>
  <c r="E6" i="4"/>
  <c r="H5" i="4"/>
  <c r="K5" i="4" s="1"/>
  <c r="G5" i="4"/>
  <c r="J5" i="4" s="1"/>
  <c r="M5" i="4" s="1"/>
  <c r="E5" i="4"/>
  <c r="H4" i="4"/>
  <c r="K4" i="4" s="1"/>
  <c r="G4" i="4"/>
  <c r="J4" i="4" s="1"/>
  <c r="E4" i="4"/>
  <c r="H3" i="4"/>
  <c r="G3" i="4"/>
  <c r="J3" i="4" s="1"/>
  <c r="E3" i="4"/>
  <c r="H2" i="4"/>
  <c r="K2" i="4" s="1"/>
  <c r="G2" i="4"/>
  <c r="E2" i="4"/>
  <c r="G3" i="3"/>
  <c r="I3" i="3" s="1"/>
  <c r="G4" i="3"/>
  <c r="I4" i="3" s="1"/>
  <c r="G5" i="3"/>
  <c r="I5" i="3" s="1"/>
  <c r="G6" i="3"/>
  <c r="I6" i="3" s="1"/>
  <c r="G7" i="3"/>
  <c r="I7" i="3" s="1"/>
  <c r="G8" i="3"/>
  <c r="I8" i="3" s="1"/>
  <c r="G9" i="3"/>
  <c r="I9" i="3" s="1"/>
  <c r="G10" i="3"/>
  <c r="I10" i="3" s="1"/>
  <c r="G11" i="3"/>
  <c r="I11" i="3" s="1"/>
  <c r="G12" i="3"/>
  <c r="I12" i="3" s="1"/>
  <c r="G13" i="3"/>
  <c r="I13" i="3" s="1"/>
  <c r="G14" i="3"/>
  <c r="I14" i="3" s="1"/>
  <c r="G15" i="3"/>
  <c r="I15" i="3" s="1"/>
  <c r="G16" i="3"/>
  <c r="I16" i="3" s="1"/>
  <c r="G17" i="3"/>
  <c r="I17" i="3" s="1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I26" i="3" s="1"/>
  <c r="G27" i="3"/>
  <c r="I27" i="3" s="1"/>
  <c r="G28" i="3"/>
  <c r="I28" i="3" s="1"/>
  <c r="G29" i="3"/>
  <c r="I29" i="3" s="1"/>
  <c r="G30" i="3"/>
  <c r="I30" i="3" s="1"/>
  <c r="G31" i="3"/>
  <c r="I31" i="3" s="1"/>
  <c r="G2" i="3"/>
  <c r="I2" i="3" s="1"/>
  <c r="F3" i="3"/>
  <c r="F4" i="3"/>
  <c r="F5" i="3"/>
  <c r="F6" i="3"/>
  <c r="F7" i="3"/>
  <c r="F8" i="3"/>
  <c r="F9" i="3"/>
  <c r="H9" i="3" s="1"/>
  <c r="F10" i="3"/>
  <c r="H10" i="3" s="1"/>
  <c r="F11" i="3"/>
  <c r="H11" i="3" s="1"/>
  <c r="F12" i="3"/>
  <c r="H12" i="3" s="1"/>
  <c r="F13" i="3"/>
  <c r="F14" i="3"/>
  <c r="H14" i="3" s="1"/>
  <c r="F15" i="3"/>
  <c r="H15" i="3" s="1"/>
  <c r="F16" i="3"/>
  <c r="H16" i="3" s="1"/>
  <c r="F17" i="3"/>
  <c r="F18" i="3"/>
  <c r="H18" i="3" s="1"/>
  <c r="F19" i="3"/>
  <c r="F20" i="3"/>
  <c r="F21" i="3"/>
  <c r="F22" i="3"/>
  <c r="F23" i="3"/>
  <c r="F24" i="3"/>
  <c r="F25" i="3"/>
  <c r="H25" i="3" s="1"/>
  <c r="F26" i="3"/>
  <c r="H26" i="3" s="1"/>
  <c r="F27" i="3"/>
  <c r="H27" i="3" s="1"/>
  <c r="F28" i="3"/>
  <c r="H28" i="3" s="1"/>
  <c r="F29" i="3"/>
  <c r="H29" i="3" s="1"/>
  <c r="F30" i="3"/>
  <c r="H30" i="3" s="1"/>
  <c r="F31" i="3"/>
  <c r="H31" i="3" s="1"/>
  <c r="F2" i="3"/>
  <c r="H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2" i="3"/>
  <c r="O34" i="4" l="1"/>
  <c r="P34" i="4" s="1"/>
  <c r="Q34" i="4" s="1"/>
  <c r="M3" i="4"/>
  <c r="N3" i="4"/>
  <c r="M43" i="4"/>
  <c r="N43" i="4"/>
  <c r="M20" i="4"/>
  <c r="O20" i="4" s="1"/>
  <c r="P20" i="4" s="1"/>
  <c r="Q20" i="4" s="1"/>
  <c r="N20" i="4"/>
  <c r="M9" i="4"/>
  <c r="N9" i="4"/>
  <c r="M25" i="4"/>
  <c r="N25" i="4"/>
  <c r="O25" i="4"/>
  <c r="P25" i="4" s="1"/>
  <c r="Q25" i="4" s="1"/>
  <c r="M35" i="4"/>
  <c r="N35" i="4"/>
  <c r="O35" i="4"/>
  <c r="P35" i="4" s="1"/>
  <c r="Q35" i="4" s="1"/>
  <c r="M10" i="4"/>
  <c r="O10" i="4" s="1"/>
  <c r="P10" i="4" s="1"/>
  <c r="Q10" i="4" s="1"/>
  <c r="N10" i="4"/>
  <c r="M45" i="4"/>
  <c r="N45" i="4"/>
  <c r="M26" i="4"/>
  <c r="N26" i="4"/>
  <c r="N41" i="4"/>
  <c r="O41" i="4" s="1"/>
  <c r="P41" i="4" s="1"/>
  <c r="Q41" i="4" s="1"/>
  <c r="M41" i="4"/>
  <c r="N33" i="4"/>
  <c r="M16" i="4"/>
  <c r="O16" i="4" s="1"/>
  <c r="P16" i="4" s="1"/>
  <c r="Q16" i="4" s="1"/>
  <c r="N16" i="4"/>
  <c r="M4" i="4"/>
  <c r="N4" i="4"/>
  <c r="O4" i="4"/>
  <c r="P4" i="4" s="1"/>
  <c r="Q4" i="4" s="1"/>
  <c r="N39" i="4"/>
  <c r="O39" i="4" s="1"/>
  <c r="P39" i="4" s="1"/>
  <c r="Q39" i="4" s="1"/>
  <c r="M39" i="4"/>
  <c r="M36" i="4"/>
  <c r="N36" i="4"/>
  <c r="O36" i="4" s="1"/>
  <c r="P36" i="4" s="1"/>
  <c r="Q36" i="4" s="1"/>
  <c r="M13" i="4"/>
  <c r="O13" i="4" s="1"/>
  <c r="P13" i="4" s="1"/>
  <c r="Q13" i="4" s="1"/>
  <c r="N13" i="4"/>
  <c r="M42" i="4"/>
  <c r="O42" i="4" s="1"/>
  <c r="P42" i="4" s="1"/>
  <c r="Q42" i="4" s="1"/>
  <c r="N42" i="4"/>
  <c r="M32" i="4"/>
  <c r="O32" i="4" s="1"/>
  <c r="P32" i="4" s="1"/>
  <c r="Q32" i="4" s="1"/>
  <c r="N32" i="4"/>
  <c r="M27" i="4"/>
  <c r="N27" i="4"/>
  <c r="O27" i="4" s="1"/>
  <c r="P27" i="4" s="1"/>
  <c r="Q27" i="4" s="1"/>
  <c r="N17" i="4"/>
  <c r="O17" i="4" s="1"/>
  <c r="P17" i="4" s="1"/>
  <c r="Q17" i="4" s="1"/>
  <c r="N23" i="4"/>
  <c r="O23" i="4" s="1"/>
  <c r="P23" i="4" s="1"/>
  <c r="Q23" i="4" s="1"/>
  <c r="M23" i="4"/>
  <c r="M18" i="4"/>
  <c r="O18" i="4" s="1"/>
  <c r="P18" i="4" s="1"/>
  <c r="Q18" i="4" s="1"/>
  <c r="N18" i="4"/>
  <c r="M29" i="4"/>
  <c r="O29" i="4" s="1"/>
  <c r="P29" i="4" s="1"/>
  <c r="Q29" i="4" s="1"/>
  <c r="N29" i="4"/>
  <c r="N7" i="4"/>
  <c r="O9" i="4"/>
  <c r="P9" i="4" s="1"/>
  <c r="Q9" i="4" s="1"/>
  <c r="O19" i="4"/>
  <c r="P19" i="4" s="1"/>
  <c r="Q19" i="4" s="1"/>
  <c r="N19" i="4"/>
  <c r="N11" i="4"/>
  <c r="O11" i="4" s="1"/>
  <c r="P11" i="4" s="1"/>
  <c r="Q11" i="4" s="1"/>
  <c r="N34" i="4"/>
  <c r="M7" i="4"/>
  <c r="O7" i="4" s="1"/>
  <c r="P7" i="4" s="1"/>
  <c r="Q7" i="4" s="1"/>
  <c r="N38" i="4"/>
  <c r="O38" i="4" s="1"/>
  <c r="P38" i="4" s="1"/>
  <c r="Q38" i="4" s="1"/>
  <c r="N22" i="4"/>
  <c r="O22" i="4" s="1"/>
  <c r="P22" i="4" s="1"/>
  <c r="Q22" i="4" s="1"/>
  <c r="N6" i="4"/>
  <c r="O6" i="4" s="1"/>
  <c r="P6" i="4" s="1"/>
  <c r="Q6" i="4" s="1"/>
  <c r="N47" i="4"/>
  <c r="O47" i="4" s="1"/>
  <c r="P47" i="4" s="1"/>
  <c r="Q47" i="4" s="1"/>
  <c r="N31" i="4"/>
  <c r="O31" i="4" s="1"/>
  <c r="P31" i="4" s="1"/>
  <c r="Q31" i="4" s="1"/>
  <c r="N15" i="4"/>
  <c r="O15" i="4" s="1"/>
  <c r="P15" i="4" s="1"/>
  <c r="Q15" i="4" s="1"/>
  <c r="N40" i="4"/>
  <c r="O40" i="4" s="1"/>
  <c r="P40" i="4" s="1"/>
  <c r="Q40" i="4" s="1"/>
  <c r="O33" i="4"/>
  <c r="P33" i="4" s="1"/>
  <c r="Q33" i="4" s="1"/>
  <c r="N24" i="4"/>
  <c r="O24" i="4" s="1"/>
  <c r="P24" i="4" s="1"/>
  <c r="Q24" i="4" s="1"/>
  <c r="N8" i="4"/>
  <c r="O8" i="4" s="1"/>
  <c r="P8" i="4" s="1"/>
  <c r="Q8" i="4" s="1"/>
  <c r="N44" i="4"/>
  <c r="O44" i="4" s="1"/>
  <c r="P44" i="4" s="1"/>
  <c r="Q44" i="4" s="1"/>
  <c r="N28" i="4"/>
  <c r="O28" i="4" s="1"/>
  <c r="P28" i="4" s="1"/>
  <c r="Q28" i="4" s="1"/>
  <c r="O21" i="4"/>
  <c r="P21" i="4" s="1"/>
  <c r="Q21" i="4" s="1"/>
  <c r="N12" i="4"/>
  <c r="O12" i="4" s="1"/>
  <c r="P12" i="4" s="1"/>
  <c r="Q12" i="4" s="1"/>
  <c r="O5" i="4"/>
  <c r="P5" i="4" s="1"/>
  <c r="Q5" i="4" s="1"/>
  <c r="O46" i="4"/>
  <c r="P46" i="4" s="1"/>
  <c r="Q46" i="4" s="1"/>
  <c r="N37" i="4"/>
  <c r="O37" i="4" s="1"/>
  <c r="P37" i="4" s="1"/>
  <c r="Q37" i="4" s="1"/>
  <c r="N21" i="4"/>
  <c r="N5" i="4"/>
  <c r="N46" i="4"/>
  <c r="N30" i="4"/>
  <c r="O30" i="4" s="1"/>
  <c r="P30" i="4" s="1"/>
  <c r="Q30" i="4" s="1"/>
  <c r="N14" i="4"/>
  <c r="O14" i="4" s="1"/>
  <c r="P14" i="4" s="1"/>
  <c r="Q14" i="4" s="1"/>
  <c r="J2" i="4"/>
  <c r="H77" i="3"/>
  <c r="H45" i="3"/>
  <c r="J45" i="3" s="1"/>
  <c r="K45" i="3" s="1"/>
  <c r="H13" i="3"/>
  <c r="H74" i="3"/>
  <c r="H89" i="3"/>
  <c r="J89" i="3" s="1"/>
  <c r="H73" i="3"/>
  <c r="J73" i="3" s="1"/>
  <c r="H57" i="3"/>
  <c r="J57" i="3" s="1"/>
  <c r="H41" i="3"/>
  <c r="J4" i="3"/>
  <c r="K4" i="3" s="1"/>
  <c r="H72" i="3"/>
  <c r="J72" i="3" s="1"/>
  <c r="K72" i="3" s="1"/>
  <c r="H40" i="3"/>
  <c r="J40" i="3" s="1"/>
  <c r="H24" i="3"/>
  <c r="J24" i="3" s="1"/>
  <c r="K24" i="3" s="1"/>
  <c r="H8" i="3"/>
  <c r="J8" i="3" s="1"/>
  <c r="K8" i="3" s="1"/>
  <c r="J88" i="3"/>
  <c r="K88" i="3" s="1"/>
  <c r="J43" i="3"/>
  <c r="K43" i="3" s="1"/>
  <c r="H87" i="3"/>
  <c r="J87" i="3" s="1"/>
  <c r="K87" i="3" s="1"/>
  <c r="H71" i="3"/>
  <c r="H39" i="3"/>
  <c r="H23" i="3"/>
  <c r="H7" i="3"/>
  <c r="J29" i="3"/>
  <c r="H38" i="3"/>
  <c r="H22" i="3"/>
  <c r="J22" i="3" s="1"/>
  <c r="K22" i="3" s="1"/>
  <c r="H6" i="3"/>
  <c r="J6" i="3" s="1"/>
  <c r="K6" i="3" s="1"/>
  <c r="J86" i="3"/>
  <c r="K86" i="3" s="1"/>
  <c r="J78" i="3"/>
  <c r="K78" i="3" s="1"/>
  <c r="J70" i="3"/>
  <c r="K70" i="3" s="1"/>
  <c r="J54" i="3"/>
  <c r="K54" i="3" s="1"/>
  <c r="H37" i="3"/>
  <c r="J37" i="3" s="1"/>
  <c r="K37" i="3" s="1"/>
  <c r="H21" i="3"/>
  <c r="J21" i="3" s="1"/>
  <c r="K21" i="3" s="1"/>
  <c r="H5" i="3"/>
  <c r="J5" i="3" s="1"/>
  <c r="K5" i="3" s="1"/>
  <c r="H84" i="3"/>
  <c r="J84" i="3" s="1"/>
  <c r="H36" i="3"/>
  <c r="J36" i="3" s="1"/>
  <c r="K36" i="3" s="1"/>
  <c r="H20" i="3"/>
  <c r="J20" i="3" s="1"/>
  <c r="K20" i="3" s="1"/>
  <c r="H4" i="3"/>
  <c r="J2" i="3"/>
  <c r="K2" i="3" s="1"/>
  <c r="J30" i="3"/>
  <c r="K30" i="3" s="1"/>
  <c r="J14" i="3"/>
  <c r="J93" i="3"/>
  <c r="K93" i="3" s="1"/>
  <c r="J85" i="3"/>
  <c r="K85" i="3" s="1"/>
  <c r="J69" i="3"/>
  <c r="K69" i="3" s="1"/>
  <c r="J53" i="3"/>
  <c r="H19" i="3"/>
  <c r="J19" i="3" s="1"/>
  <c r="K19" i="3" s="1"/>
  <c r="H3" i="3"/>
  <c r="J3" i="3" s="1"/>
  <c r="K3" i="3" s="1"/>
  <c r="H97" i="3"/>
  <c r="J97" i="3" s="1"/>
  <c r="H81" i="3"/>
  <c r="J81" i="3" s="1"/>
  <c r="H65" i="3"/>
  <c r="J65" i="3" s="1"/>
  <c r="H49" i="3"/>
  <c r="H33" i="3"/>
  <c r="J33" i="3" s="1"/>
  <c r="H17" i="3"/>
  <c r="J17" i="3" s="1"/>
  <c r="K17" i="3" s="1"/>
  <c r="J46" i="3"/>
  <c r="J68" i="3"/>
  <c r="K68" i="3" s="1"/>
  <c r="J35" i="3"/>
  <c r="K35" i="3" s="1"/>
  <c r="J99" i="3"/>
  <c r="K99" i="3" s="1"/>
  <c r="J83" i="3"/>
  <c r="K83" i="3" s="1"/>
  <c r="J67" i="3"/>
  <c r="K67" i="3" s="1"/>
  <c r="J51" i="3"/>
  <c r="J98" i="3"/>
  <c r="J82" i="3"/>
  <c r="K82" i="3" s="1"/>
  <c r="J66" i="3"/>
  <c r="K66" i="3" s="1"/>
  <c r="J50" i="3"/>
  <c r="K50" i="3" s="1"/>
  <c r="J34" i="3"/>
  <c r="K34" i="3" s="1"/>
  <c r="J96" i="3"/>
  <c r="K96" i="3" s="1"/>
  <c r="J80" i="3"/>
  <c r="K80" i="3" s="1"/>
  <c r="J64" i="3"/>
  <c r="K64" i="3" s="1"/>
  <c r="J18" i="3"/>
  <c r="K18" i="3" s="1"/>
  <c r="J95" i="3"/>
  <c r="K95" i="3" s="1"/>
  <c r="J79" i="3"/>
  <c r="K79" i="3" s="1"/>
  <c r="J63" i="3"/>
  <c r="K63" i="3" s="1"/>
  <c r="J32" i="3"/>
  <c r="K32" i="3" s="1"/>
  <c r="J16" i="3"/>
  <c r="K16" i="3" s="1"/>
  <c r="J31" i="3"/>
  <c r="K31" i="3" s="1"/>
  <c r="J15" i="3"/>
  <c r="K15" i="3" s="1"/>
  <c r="J47" i="3"/>
  <c r="K47" i="3" s="1"/>
  <c r="K98" i="3"/>
  <c r="J61" i="3"/>
  <c r="K61" i="3" s="1"/>
  <c r="J25" i="3"/>
  <c r="K25" i="3" s="1"/>
  <c r="J9" i="3"/>
  <c r="K9" i="3" s="1"/>
  <c r="K46" i="3"/>
  <c r="K14" i="3"/>
  <c r="K29" i="3"/>
  <c r="K53" i="3"/>
  <c r="K51" i="3"/>
  <c r="O2" i="3"/>
  <c r="E7" i="3" s="1"/>
  <c r="E37" i="3"/>
  <c r="E76" i="3"/>
  <c r="E13" i="1"/>
  <c r="F3" i="1" s="1"/>
  <c r="O26" i="4" l="1"/>
  <c r="P26" i="4" s="1"/>
  <c r="Q26" i="4" s="1"/>
  <c r="O43" i="4"/>
  <c r="P43" i="4" s="1"/>
  <c r="Q43" i="4" s="1"/>
  <c r="O45" i="4"/>
  <c r="P45" i="4" s="1"/>
  <c r="Q45" i="4" s="1"/>
  <c r="O3" i="4"/>
  <c r="P3" i="4" s="1"/>
  <c r="Q3" i="4" s="1"/>
  <c r="N2" i="4"/>
  <c r="M2" i="4"/>
  <c r="O2" i="4" s="1"/>
  <c r="P2" i="4" s="1"/>
  <c r="Q2" i="4" s="1"/>
  <c r="K33" i="3"/>
  <c r="J39" i="3"/>
  <c r="K39" i="3" s="1"/>
  <c r="L39" i="3" s="1"/>
  <c r="M39" i="3" s="1"/>
  <c r="K40" i="3"/>
  <c r="L17" i="3"/>
  <c r="M17" i="3" s="1"/>
  <c r="L86" i="3"/>
  <c r="M86" i="3" s="1"/>
  <c r="L4" i="3"/>
  <c r="M4" i="3" s="1"/>
  <c r="L25" i="3"/>
  <c r="M25" i="3" s="1"/>
  <c r="L6" i="3"/>
  <c r="M6" i="3" s="1"/>
  <c r="L20" i="3"/>
  <c r="M20" i="3" s="1"/>
  <c r="L31" i="3"/>
  <c r="M31" i="3" s="1"/>
  <c r="L72" i="3"/>
  <c r="M72" i="3" s="1"/>
  <c r="L2" i="3"/>
  <c r="M2" i="3" s="1"/>
  <c r="L36" i="3"/>
  <c r="M36" i="3" s="1"/>
  <c r="L87" i="3"/>
  <c r="M87" i="3" s="1"/>
  <c r="L21" i="3"/>
  <c r="M21" i="3" s="1"/>
  <c r="L22" i="3"/>
  <c r="M22" i="3" s="1"/>
  <c r="L37" i="3"/>
  <c r="M37" i="3" s="1"/>
  <c r="L8" i="3"/>
  <c r="M8" i="3" s="1"/>
  <c r="L80" i="3"/>
  <c r="M80" i="3" s="1"/>
  <c r="L96" i="3"/>
  <c r="M96" i="3" s="1"/>
  <c r="L5" i="3"/>
  <c r="M5" i="3" s="1"/>
  <c r="L50" i="3"/>
  <c r="M50" i="3" s="1"/>
  <c r="L43" i="3"/>
  <c r="M43" i="3" s="1"/>
  <c r="L3" i="3"/>
  <c r="M3" i="3" s="1"/>
  <c r="L19" i="3"/>
  <c r="M19" i="3" s="1"/>
  <c r="L54" i="3"/>
  <c r="M54" i="3" s="1"/>
  <c r="L45" i="3"/>
  <c r="M45" i="3" s="1"/>
  <c r="L47" i="3"/>
  <c r="M47" i="3" s="1"/>
  <c r="L70" i="3"/>
  <c r="M70" i="3" s="1"/>
  <c r="L24" i="3"/>
  <c r="M24" i="3" s="1"/>
  <c r="L53" i="3"/>
  <c r="M53" i="3" s="1"/>
  <c r="L93" i="3"/>
  <c r="M93" i="3" s="1"/>
  <c r="L66" i="3"/>
  <c r="M66" i="3" s="1"/>
  <c r="J74" i="3"/>
  <c r="K74" i="3" s="1"/>
  <c r="L33" i="3"/>
  <c r="M33" i="3" s="1"/>
  <c r="L34" i="3"/>
  <c r="M34" i="3" s="1"/>
  <c r="L30" i="3"/>
  <c r="M30" i="3" s="1"/>
  <c r="L35" i="3"/>
  <c r="M35" i="3" s="1"/>
  <c r="K57" i="3"/>
  <c r="K73" i="3"/>
  <c r="L64" i="3"/>
  <c r="M64" i="3" s="1"/>
  <c r="J49" i="3"/>
  <c r="K49" i="3" s="1"/>
  <c r="L18" i="3"/>
  <c r="M18" i="3" s="1"/>
  <c r="L40" i="3"/>
  <c r="M40" i="3" s="1"/>
  <c r="L82" i="3"/>
  <c r="M82" i="3" s="1"/>
  <c r="J7" i="3"/>
  <c r="K7" i="3" s="1"/>
  <c r="L78" i="3"/>
  <c r="M78" i="3" s="1"/>
  <c r="L14" i="3"/>
  <c r="M14" i="3" s="1"/>
  <c r="L88" i="3"/>
  <c r="M88" i="3" s="1"/>
  <c r="K65" i="3"/>
  <c r="L15" i="3"/>
  <c r="M15" i="3" s="1"/>
  <c r="L83" i="3"/>
  <c r="M83" i="3" s="1"/>
  <c r="L63" i="3"/>
  <c r="M63" i="3" s="1"/>
  <c r="J71" i="3"/>
  <c r="K71" i="3" s="1"/>
  <c r="L9" i="3"/>
  <c r="M9" i="3" s="1"/>
  <c r="L79" i="3"/>
  <c r="M79" i="3" s="1"/>
  <c r="J41" i="3"/>
  <c r="K41" i="3" s="1"/>
  <c r="J23" i="3"/>
  <c r="K23" i="3" s="1"/>
  <c r="L46" i="3"/>
  <c r="M46" i="3" s="1"/>
  <c r="L67" i="3"/>
  <c r="M67" i="3" s="1"/>
  <c r="L99" i="3"/>
  <c r="M99" i="3" s="1"/>
  <c r="L16" i="3"/>
  <c r="M16" i="3" s="1"/>
  <c r="K81" i="3"/>
  <c r="L68" i="3"/>
  <c r="M68" i="3" s="1"/>
  <c r="K97" i="3"/>
  <c r="L95" i="3"/>
  <c r="M95" i="3" s="1"/>
  <c r="J13" i="3"/>
  <c r="K13" i="3" s="1"/>
  <c r="L69" i="3"/>
  <c r="M69" i="3" s="1"/>
  <c r="M85" i="3"/>
  <c r="L85" i="3"/>
  <c r="L98" i="3"/>
  <c r="M98" i="3" s="1"/>
  <c r="L51" i="3"/>
  <c r="M51" i="3" s="1"/>
  <c r="K89" i="3"/>
  <c r="L32" i="3"/>
  <c r="M32" i="3" s="1"/>
  <c r="K84" i="3"/>
  <c r="L29" i="3"/>
  <c r="M29" i="3" s="1"/>
  <c r="L61" i="3"/>
  <c r="M61" i="3" s="1"/>
  <c r="J56" i="3"/>
  <c r="K56" i="3" s="1"/>
  <c r="J12" i="3"/>
  <c r="K12" i="3" s="1"/>
  <c r="J92" i="3"/>
  <c r="K92" i="3" s="1"/>
  <c r="J10" i="3"/>
  <c r="K10" i="3" s="1"/>
  <c r="J62" i="3"/>
  <c r="K62" i="3"/>
  <c r="J44" i="3"/>
  <c r="K44" i="3" s="1"/>
  <c r="J28" i="3"/>
  <c r="K28" i="3" s="1"/>
  <c r="J26" i="3"/>
  <c r="K26" i="3" s="1"/>
  <c r="J42" i="3"/>
  <c r="K42" i="3" s="1"/>
  <c r="J48" i="3"/>
  <c r="K48" i="3" s="1"/>
  <c r="J52" i="3"/>
  <c r="K52" i="3" s="1"/>
  <c r="J75" i="3"/>
  <c r="K75" i="3"/>
  <c r="E28" i="3"/>
  <c r="J58" i="3"/>
  <c r="K58" i="3" s="1"/>
  <c r="J76" i="3"/>
  <c r="K76" i="3"/>
  <c r="J38" i="3"/>
  <c r="K38" i="3" s="1"/>
  <c r="J90" i="3"/>
  <c r="K90" i="3" s="1"/>
  <c r="J77" i="3"/>
  <c r="K77" i="3" s="1"/>
  <c r="J59" i="3"/>
  <c r="K59" i="3" s="1"/>
  <c r="J91" i="3"/>
  <c r="K91" i="3" s="1"/>
  <c r="J27" i="3"/>
  <c r="K27" i="3" s="1"/>
  <c r="J94" i="3"/>
  <c r="K94" i="3" s="1"/>
  <c r="E69" i="3"/>
  <c r="J11" i="3"/>
  <c r="K11" i="3"/>
  <c r="J60" i="3"/>
  <c r="K60" i="3"/>
  <c r="J55" i="3"/>
  <c r="K55" i="3" s="1"/>
  <c r="E10" i="3"/>
  <c r="E86" i="3"/>
  <c r="E84" i="3"/>
  <c r="E44" i="3"/>
  <c r="E26" i="3"/>
  <c r="E2" i="3"/>
  <c r="E53" i="3"/>
  <c r="E48" i="3"/>
  <c r="E42" i="3"/>
  <c r="E58" i="3"/>
  <c r="E13" i="3"/>
  <c r="E12" i="3"/>
  <c r="E62" i="3"/>
  <c r="E85" i="3"/>
  <c r="E24" i="3"/>
  <c r="E66" i="3"/>
  <c r="E22" i="3"/>
  <c r="E75" i="3"/>
  <c r="E80" i="3"/>
  <c r="E20" i="3"/>
  <c r="E33" i="3"/>
  <c r="E68" i="3"/>
  <c r="E82" i="3"/>
  <c r="E96" i="3"/>
  <c r="E3" i="3"/>
  <c r="E61" i="3"/>
  <c r="E98" i="3"/>
  <c r="E50" i="3"/>
  <c r="E90" i="3"/>
  <c r="E60" i="3"/>
  <c r="E94" i="3"/>
  <c r="E19" i="3"/>
  <c r="E93" i="3"/>
  <c r="E6" i="3"/>
  <c r="E74" i="3"/>
  <c r="E35" i="3"/>
  <c r="E5" i="3"/>
  <c r="E47" i="3"/>
  <c r="E18" i="3"/>
  <c r="E49" i="3"/>
  <c r="E30" i="3"/>
  <c r="E56" i="3"/>
  <c r="E67" i="3"/>
  <c r="E71" i="3"/>
  <c r="E65" i="3"/>
  <c r="E92" i="3"/>
  <c r="E51" i="3"/>
  <c r="E63" i="3"/>
  <c r="E83" i="3"/>
  <c r="E40" i="3"/>
  <c r="E15" i="3"/>
  <c r="E79" i="3"/>
  <c r="E73" i="3"/>
  <c r="E55" i="3"/>
  <c r="E21" i="3"/>
  <c r="E57" i="3"/>
  <c r="E41" i="3"/>
  <c r="E11" i="3"/>
  <c r="E99" i="3"/>
  <c r="E9" i="3"/>
  <c r="E31" i="3"/>
  <c r="E87" i="3"/>
  <c r="E81" i="3"/>
  <c r="E27" i="3"/>
  <c r="E25" i="3"/>
  <c r="E54" i="3"/>
  <c r="E95" i="3"/>
  <c r="E89" i="3"/>
  <c r="E43" i="3"/>
  <c r="E46" i="3"/>
  <c r="E70" i="3"/>
  <c r="E23" i="3"/>
  <c r="E97" i="3"/>
  <c r="E59" i="3"/>
  <c r="E4" i="3"/>
  <c r="E32" i="3"/>
  <c r="E78" i="3"/>
  <c r="E45" i="3"/>
  <c r="E39" i="3"/>
  <c r="E91" i="3"/>
  <c r="E36" i="3"/>
  <c r="E29" i="3"/>
  <c r="E16" i="3"/>
  <c r="E64" i="3"/>
  <c r="E8" i="3"/>
  <c r="E52" i="3"/>
  <c r="E14" i="3"/>
  <c r="E17" i="3"/>
  <c r="E72" i="3"/>
  <c r="E34" i="3"/>
  <c r="E88" i="3"/>
  <c r="S2" i="4"/>
  <c r="F2" i="1"/>
  <c r="F9" i="1"/>
  <c r="F8" i="1"/>
  <c r="F7" i="1"/>
  <c r="F6" i="1"/>
  <c r="F12" i="1"/>
  <c r="F10" i="1"/>
  <c r="F5" i="1"/>
  <c r="F11" i="1"/>
  <c r="F4" i="1"/>
  <c r="F13" i="1"/>
  <c r="L41" i="3" l="1"/>
  <c r="M41" i="3" s="1"/>
  <c r="L13" i="3"/>
  <c r="M13" i="3" s="1"/>
  <c r="L58" i="3"/>
  <c r="M58" i="3" s="1"/>
  <c r="L92" i="3"/>
  <c r="M92" i="3" s="1"/>
  <c r="L7" i="3"/>
  <c r="M7" i="3" s="1"/>
  <c r="L94" i="3"/>
  <c r="M94" i="3" s="1"/>
  <c r="L23" i="3"/>
  <c r="M23" i="3" s="1"/>
  <c r="L12" i="3"/>
  <c r="M12" i="3" s="1"/>
  <c r="L57" i="3"/>
  <c r="M57" i="3" s="1"/>
  <c r="L48" i="3"/>
  <c r="M48" i="3" s="1"/>
  <c r="L73" i="3"/>
  <c r="M73" i="3" s="1"/>
  <c r="L56" i="3"/>
  <c r="M56" i="3" s="1"/>
  <c r="L42" i="3"/>
  <c r="M42" i="3" s="1"/>
  <c r="L97" i="3"/>
  <c r="M97" i="3" s="1"/>
  <c r="L71" i="3"/>
  <c r="M71" i="3" s="1"/>
  <c r="L84" i="3"/>
  <c r="M84" i="3" s="1"/>
  <c r="L11" i="3"/>
  <c r="M11" i="3" s="1"/>
  <c r="L59" i="3"/>
  <c r="M59" i="3" s="1"/>
  <c r="L74" i="3"/>
  <c r="M74" i="3" s="1"/>
  <c r="L77" i="3"/>
  <c r="M77" i="3" s="1"/>
  <c r="L28" i="3"/>
  <c r="M28" i="3" s="1"/>
  <c r="L81" i="3"/>
  <c r="M81" i="3" s="1"/>
  <c r="L49" i="3"/>
  <c r="M49" i="3" s="1"/>
  <c r="L75" i="3"/>
  <c r="M75" i="3" s="1"/>
  <c r="L90" i="3"/>
  <c r="M90" i="3" s="1"/>
  <c r="L44" i="3"/>
  <c r="M44" i="3" s="1"/>
  <c r="L89" i="3"/>
  <c r="M89" i="3" s="1"/>
  <c r="L38" i="3"/>
  <c r="M38" i="3" s="1"/>
  <c r="L27" i="3"/>
  <c r="M27" i="3" s="1"/>
  <c r="L91" i="3"/>
  <c r="M91" i="3" s="1"/>
  <c r="L62" i="3"/>
  <c r="M62" i="3" s="1"/>
  <c r="L55" i="3"/>
  <c r="M55" i="3" s="1"/>
  <c r="L76" i="3"/>
  <c r="M76" i="3" s="1"/>
  <c r="L60" i="3"/>
  <c r="M60" i="3" s="1"/>
  <c r="L10" i="3"/>
  <c r="M10" i="3" s="1"/>
  <c r="L52" i="3"/>
  <c r="M52" i="3" s="1"/>
  <c r="L26" i="3"/>
  <c r="M26" i="3" s="1"/>
  <c r="L65" i="3"/>
  <c r="M65" i="3" s="1"/>
  <c r="P2" i="3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3" i="4"/>
  <c r="F19" i="4"/>
  <c r="F4" i="4"/>
  <c r="F20" i="4"/>
  <c r="F5" i="4"/>
  <c r="F21" i="4"/>
  <c r="F6" i="4"/>
  <c r="F22" i="4"/>
  <c r="F7" i="4"/>
  <c r="F23" i="4"/>
  <c r="F8" i="4"/>
  <c r="F24" i="4"/>
  <c r="F9" i="4"/>
  <c r="F25" i="4"/>
  <c r="F10" i="4"/>
  <c r="F26" i="4"/>
  <c r="F18" i="4"/>
  <c r="F11" i="4"/>
  <c r="F27" i="4"/>
  <c r="F12" i="4"/>
  <c r="F28" i="4"/>
  <c r="F13" i="4"/>
  <c r="F29" i="4"/>
  <c r="F14" i="4"/>
  <c r="F30" i="4"/>
  <c r="F15" i="4"/>
  <c r="F31" i="4"/>
  <c r="F16" i="4"/>
  <c r="F2" i="4"/>
  <c r="F17" i="4"/>
  <c r="T2" i="4" l="1"/>
</calcChain>
</file>

<file path=xl/sharedStrings.xml><?xml version="1.0" encoding="utf-8"?>
<sst xmlns="http://schemas.openxmlformats.org/spreadsheetml/2006/main" count="85" uniqueCount="54">
  <si>
    <t>pool total grossAmount</t>
  </si>
  <si>
    <t>pool total netAmount</t>
  </si>
  <si>
    <t>pool carryIn netAmount</t>
  </si>
  <si>
    <t>pool guarantee netAmount</t>
  </si>
  <si>
    <t>pool topUp netAmount</t>
  </si>
  <si>
    <t>selling status</t>
  </si>
  <si>
    <t>CLOSED</t>
  </si>
  <si>
    <t>result dividends dividend amount</t>
  </si>
  <si>
    <t>id</t>
  </si>
  <si>
    <t>legs</t>
  </si>
  <si>
    <t>Amount Bet On Horse</t>
  </si>
  <si>
    <t>1/Odds</t>
  </si>
  <si>
    <t>Horse First</t>
  </si>
  <si>
    <t>Horse Second</t>
  </si>
  <si>
    <t>Fair Odds H1</t>
  </si>
  <si>
    <t>Fair Odds H2</t>
  </si>
  <si>
    <t>Horse Number</t>
  </si>
  <si>
    <t>Value</t>
  </si>
  <si>
    <t>WIN-HORSERACING-AYR-GB-2026-01-02-1530-1</t>
  </si>
  <si>
    <t>WIN-HORSERACING-AYR-GB-2026-01-02-1530-2</t>
  </si>
  <si>
    <t>WIN-HORSERACING-AYR-GB-2026-01-02-1530-3</t>
  </si>
  <si>
    <t>WIN-HORSERACING-AYR-GB-2026-01-02-1530-4</t>
  </si>
  <si>
    <t>WIN-HORSERACING-AYR-GB-2026-01-02-1530-5</t>
  </si>
  <si>
    <t>WIN-HORSERACING-AYR-GB-2026-01-02-1530-6</t>
  </si>
  <si>
    <t>WIN-HORSERACING-AYR-GB-2026-01-02-1530-7</t>
  </si>
  <si>
    <t>WIN-HORSERACING-AYR-GB-2026-01-02-1530-8</t>
  </si>
  <si>
    <t>WIN-HORSERACING-AYR-GB-2026-01-02-1530-9</t>
  </si>
  <si>
    <t>WIN-HORSERACING-AYR-GB-2026-01-02-1530-10</t>
  </si>
  <si>
    <t>WIN-HORSERACING-AYR-GB-2026-01-02-1530-11</t>
  </si>
  <si>
    <t>PHANTOMOFTHEPOINTS</t>
  </si>
  <si>
    <t>IKARAK</t>
  </si>
  <si>
    <t>WHISTLE STOP TOUR</t>
  </si>
  <si>
    <t>AUTHORIZED MISSION</t>
  </si>
  <si>
    <t>BAPTISM OF FIRE</t>
  </si>
  <si>
    <t>GAILLIMH A STOR</t>
  </si>
  <si>
    <t>HIGHLAND FASHION</t>
  </si>
  <si>
    <t>IMAGINARY DRAGON</t>
  </si>
  <si>
    <t>FOLLOW CHARLIE</t>
  </si>
  <si>
    <t>COCONUT SPLASH</t>
  </si>
  <si>
    <t>FOSTERED PHIL</t>
  </si>
  <si>
    <t>SUM 1/Odds</t>
  </si>
  <si>
    <t>CheckSum Amount Bet</t>
  </si>
  <si>
    <t>Horse Third</t>
  </si>
  <si>
    <t>Fair Odds H3</t>
  </si>
  <si>
    <t>pFirst</t>
  </si>
  <si>
    <t>pSecond</t>
  </si>
  <si>
    <t>pFirst Not Wins</t>
  </si>
  <si>
    <t>Fair Exacta Probability</t>
  </si>
  <si>
    <t>Fair Exacta Odds</t>
  </si>
  <si>
    <t>Tote Odds</t>
  </si>
  <si>
    <t>pThird</t>
  </si>
  <si>
    <t>pFirst And Second</t>
  </si>
  <si>
    <t>Fair Trifecta Probability</t>
  </si>
  <si>
    <t>Fair Trifecta Odds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</si>
</sst>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left" vertical="center" wrapText="1" indent="1"/>
    </xf>
    <xf numFmtId="164" fontId="0" fillId="0" borderId="0" xfId="1" applyNumberFormat="1" applyFont="1" applyAlignment="1">
      <alignment horizontal="left" vertical="center" indent="1"/>
    </xf>
    <xf numFmtId="43" fontId="0" fillId="0" borderId="0" xfId="1" applyFont="1" applyAlignment="1">
      <alignment horizontal="left" vertical="center" indent="1"/>
    </xf>
    <xf numFmtId="9" fontId="0" fillId="0" borderId="0" xfId="2" applyFont="1" applyAlignment="1">
      <alignment horizontal="left" vertical="center" indent="1"/>
    </xf>
    <xf numFmtId="9" fontId="0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164" fontId="0" fillId="0" borderId="0" xfId="1" applyNumberFormat="1" applyFont="1" applyFill="1" applyAlignment="1">
      <alignment horizontal="left" vertical="center" indent="1"/>
    </xf>
    <xf numFmtId="164" fontId="0" fillId="0" borderId="0" xfId="0" applyNumberFormat="1" applyAlignment="1">
      <alignment horizontal="center" vertical="center"/>
    </xf>
    <xf numFmtId="2" fontId="0" fillId="0" borderId="0" xfId="2" applyNumberFormat="1" applyFont="1" applyAlignment="1">
      <alignment horizontal="left" vertical="center" indent="1"/>
    </xf>
    <xf numFmtId="9" fontId="0" fillId="0" borderId="0" xfId="2" applyFont="1" applyAlignment="1">
      <alignment horizontal="right" vertical="center" indent="1"/>
    </xf>
    <xf numFmtId="164" fontId="0" fillId="0" borderId="0" xfId="1" applyNumberFormat="1" applyFont="1" applyAlignment="1">
      <alignment horizontal="right" vertical="center" indent="1"/>
    </xf>
    <xf numFmtId="0" fontId="0" fillId="2" borderId="0" xfId="0" applyFill="1" applyAlignment="1">
      <alignment horizontal="center"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Alignment="1">
      <alignment horizontal="left" vertical="center" indent="1"/>
    </xf>
    <xf numFmtId="164" fontId="0" fillId="2" borderId="0" xfId="1" applyNumberFormat="1" applyFont="1" applyFill="1" applyAlignment="1">
      <alignment horizontal="left" vertical="center" indent="1"/>
    </xf>
    <xf numFmtId="9" fontId="0" fillId="2" borderId="0" xfId="2" applyFont="1" applyFill="1" applyAlignment="1">
      <alignment horizontal="left" vertical="center" indent="1"/>
    </xf>
    <xf numFmtId="2" fontId="0" fillId="2" borderId="0" xfId="2" applyNumberFormat="1" applyFont="1" applyFill="1" applyAlignment="1">
      <alignment horizontal="left" vertical="center" indent="1"/>
    </xf>
    <xf numFmtId="9" fontId="0" fillId="2" borderId="0" xfId="2" applyFont="1" applyFill="1" applyAlignment="1">
      <alignment horizontal="right" vertical="center" indent="1"/>
    </xf>
  </cellXfs>
  <cellStyles count="3">
    <cellStyle name="Comma" xfId="1" builtinId="3"/>
    <cellStyle name="Normal" xfId="0" builtinId="0"/>
    <cellStyle name="Per cent" xfId="2" builtinId="5"/>
  </cellStyles>
  <dxfs count="2"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3739-42C0-4D7B-B620-7B4D02A30D41}">
  <dimension ref="A1:M32"/>
  <sheetViews>
    <sheetView workbookViewId="0">
      <selection activeCell="A3" sqref="A3:F3"/>
    </sheetView>
  </sheetViews>
  <sheetFormatPr defaultRowHeight="14.25"/>
  <cols>
    <col min="1" max="1" width="52.59765625" style="5" bestFit="1" customWidth="1"/>
    <col min="2" max="2" width="11.9296875" style="5" customWidth="1"/>
    <col min="3" max="3" width="21.1328125" style="5" bestFit="1" customWidth="1"/>
    <col min="4" max="4" width="8.59765625" style="5" customWidth="1"/>
    <col min="5" max="5" width="11.53125" style="8" customWidth="1"/>
    <col min="6" max="6" width="14.33203125" style="8" customWidth="1"/>
    <col min="7" max="7" width="5" style="5" customWidth="1"/>
    <col min="8" max="12" width="14.19921875" style="4" customWidth="1"/>
    <col min="13" max="13" width="14.19921875" style="5" customWidth="1"/>
  </cols>
  <sheetData>
    <row r="1" spans="1:13" ht="42" customHeight="1">
      <c r="A1" s="3" t="s">
        <v>8</v>
      </c>
      <c r="B1" s="3" t="s">
        <v>16</v>
      </c>
      <c r="C1" s="3" t="s">
        <v>9</v>
      </c>
      <c r="D1" s="3" t="s">
        <v>49</v>
      </c>
      <c r="E1" s="7" t="s">
        <v>11</v>
      </c>
      <c r="F1" s="6" t="s">
        <v>10</v>
      </c>
      <c r="G1" s="3"/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3" t="s">
        <v>5</v>
      </c>
    </row>
    <row r="2" spans="1:13">
      <c r="A2" s="5" t="s">
        <v>18</v>
      </c>
      <c r="B2" s="5">
        <v>1</v>
      </c>
      <c r="C2" s="5" t="s">
        <v>29</v>
      </c>
      <c r="D2" s="5">
        <v>0</v>
      </c>
      <c r="E2" s="11">
        <f>IFERROR(1/D2,0)</f>
        <v>0</v>
      </c>
      <c r="F2" s="9">
        <f>IFERROR(($H$2/(D2*$E$13)),0)</f>
        <v>0</v>
      </c>
      <c r="H2" s="4">
        <v>21850.94</v>
      </c>
      <c r="I2" s="4">
        <v>17644.64</v>
      </c>
      <c r="J2" s="4">
        <v>0</v>
      </c>
      <c r="K2" s="4">
        <v>0</v>
      </c>
      <c r="L2" s="4">
        <v>0</v>
      </c>
      <c r="M2" s="5" t="s">
        <v>6</v>
      </c>
    </row>
    <row r="3" spans="1:13">
      <c r="A3" s="19" t="s">
        <v>19</v>
      </c>
      <c r="B3" s="19">
        <v>2</v>
      </c>
      <c r="C3" s="19" t="s">
        <v>30</v>
      </c>
      <c r="D3" s="19">
        <v>3.6</v>
      </c>
      <c r="E3" s="20">
        <f t="shared" ref="E3:E12" si="0">IFERROR(1/D3,0)</f>
        <v>0.27777777777777779</v>
      </c>
      <c r="F3" s="21">
        <f t="shared" ref="F3:F12" si="1">IFERROR(($H$2/(D3*$E$13)),0)</f>
        <v>4862.8167331409377</v>
      </c>
    </row>
    <row r="4" spans="1:13">
      <c r="A4" s="5" t="s">
        <v>20</v>
      </c>
      <c r="B4" s="5">
        <v>3</v>
      </c>
      <c r="C4" s="5" t="s">
        <v>31</v>
      </c>
      <c r="D4" s="5">
        <v>8.6999999999999993</v>
      </c>
      <c r="E4" s="11">
        <f t="shared" si="0"/>
        <v>0.1149425287356322</v>
      </c>
      <c r="F4" s="9">
        <f t="shared" si="1"/>
        <v>2012.200027506595</v>
      </c>
    </row>
    <row r="5" spans="1:13">
      <c r="A5" s="5" t="s">
        <v>21</v>
      </c>
      <c r="B5" s="5">
        <v>4</v>
      </c>
      <c r="C5" s="5" t="s">
        <v>32</v>
      </c>
      <c r="D5" s="5">
        <v>2.4</v>
      </c>
      <c r="E5" s="11">
        <f t="shared" si="0"/>
        <v>0.41666666666666669</v>
      </c>
      <c r="F5" s="9">
        <f t="shared" si="1"/>
        <v>7294.225099711407</v>
      </c>
    </row>
    <row r="6" spans="1:13">
      <c r="A6" s="5" t="s">
        <v>22</v>
      </c>
      <c r="B6" s="5">
        <v>5</v>
      </c>
      <c r="C6" s="5" t="s">
        <v>33</v>
      </c>
      <c r="D6" s="5">
        <v>77.8</v>
      </c>
      <c r="E6" s="11">
        <f t="shared" si="0"/>
        <v>1.2853470437017995E-2</v>
      </c>
      <c r="F6" s="9">
        <f t="shared" si="1"/>
        <v>225.01465603222849</v>
      </c>
    </row>
    <row r="7" spans="1:13">
      <c r="A7" s="5" t="s">
        <v>23</v>
      </c>
      <c r="B7" s="5">
        <v>6</v>
      </c>
      <c r="C7" s="5" t="s">
        <v>34</v>
      </c>
      <c r="D7" s="5">
        <v>48.1</v>
      </c>
      <c r="E7" s="11">
        <f t="shared" si="0"/>
        <v>2.0790020790020788E-2</v>
      </c>
      <c r="F7" s="9">
        <f t="shared" si="1"/>
        <v>363.95301952821984</v>
      </c>
    </row>
    <row r="8" spans="1:13">
      <c r="A8" s="5" t="s">
        <v>24</v>
      </c>
      <c r="B8" s="5">
        <v>7</v>
      </c>
      <c r="C8" s="5" t="s">
        <v>35</v>
      </c>
      <c r="D8" s="5">
        <v>4.2</v>
      </c>
      <c r="E8" s="11">
        <f t="shared" si="0"/>
        <v>0.23809523809523808</v>
      </c>
      <c r="F8" s="9">
        <f t="shared" si="1"/>
        <v>4168.1286284065181</v>
      </c>
    </row>
    <row r="9" spans="1:13">
      <c r="A9" s="5" t="s">
        <v>25</v>
      </c>
      <c r="B9" s="5">
        <v>8</v>
      </c>
      <c r="C9" s="5" t="s">
        <v>36</v>
      </c>
      <c r="D9" s="5">
        <v>40.5</v>
      </c>
      <c r="E9" s="11">
        <f t="shared" si="0"/>
        <v>2.4691358024691357E-2</v>
      </c>
      <c r="F9" s="9">
        <f t="shared" si="1"/>
        <v>432.25037627919443</v>
      </c>
    </row>
    <row r="10" spans="1:13">
      <c r="A10" s="5" t="s">
        <v>26</v>
      </c>
      <c r="B10" s="5">
        <v>9</v>
      </c>
      <c r="C10" s="5" t="s">
        <v>37</v>
      </c>
      <c r="D10" s="5">
        <v>19.8</v>
      </c>
      <c r="E10" s="11">
        <f t="shared" si="0"/>
        <v>5.0505050505050504E-2</v>
      </c>
      <c r="F10" s="9">
        <f t="shared" si="1"/>
        <v>884.14849693471592</v>
      </c>
    </row>
    <row r="11" spans="1:13">
      <c r="A11" s="5" t="s">
        <v>27</v>
      </c>
      <c r="B11" s="5">
        <v>10</v>
      </c>
      <c r="C11" s="5" t="s">
        <v>38</v>
      </c>
      <c r="D11" s="5">
        <v>17.5</v>
      </c>
      <c r="E11" s="11">
        <f t="shared" si="0"/>
        <v>5.7142857142857141E-2</v>
      </c>
      <c r="F11" s="9">
        <f t="shared" si="1"/>
        <v>1000.3508708175643</v>
      </c>
    </row>
    <row r="12" spans="1:13">
      <c r="A12" s="5" t="s">
        <v>28</v>
      </c>
      <c r="B12" s="5">
        <v>11</v>
      </c>
      <c r="C12" s="5" t="s">
        <v>39</v>
      </c>
      <c r="D12" s="5">
        <v>28.8</v>
      </c>
      <c r="E12" s="11">
        <f t="shared" si="0"/>
        <v>3.4722222222222224E-2</v>
      </c>
      <c r="F12" s="9">
        <f t="shared" si="1"/>
        <v>607.85209164261721</v>
      </c>
    </row>
    <row r="13" spans="1:13">
      <c r="E13" s="11">
        <f>SUM(E2:E12)</f>
        <v>1.2481871903971749</v>
      </c>
      <c r="F13" s="8">
        <f>SUM(F2:F12)</f>
        <v>21850.939999999995</v>
      </c>
    </row>
    <row r="14" spans="1:13">
      <c r="E14" s="11"/>
    </row>
    <row r="15" spans="1:13">
      <c r="E15" s="11"/>
    </row>
    <row r="16" spans="1:13">
      <c r="E16" s="11"/>
    </row>
    <row r="17" spans="5:5">
      <c r="E17" s="11"/>
    </row>
    <row r="18" spans="5:5">
      <c r="E18" s="11"/>
    </row>
    <row r="19" spans="5:5">
      <c r="E19" s="11"/>
    </row>
    <row r="20" spans="5:5">
      <c r="E20" s="11"/>
    </row>
    <row r="21" spans="5:5">
      <c r="E21" s="11"/>
    </row>
    <row r="22" spans="5:5">
      <c r="E22" s="11"/>
    </row>
    <row r="23" spans="5:5">
      <c r="E23" s="11"/>
    </row>
    <row r="24" spans="5:5">
      <c r="E24" s="11"/>
    </row>
    <row r="25" spans="5:5">
      <c r="E25" s="11"/>
    </row>
    <row r="26" spans="5:5">
      <c r="E26" s="11"/>
    </row>
    <row r="27" spans="5:5">
      <c r="E27" s="11"/>
    </row>
    <row r="28" spans="5:5">
      <c r="E28" s="11"/>
    </row>
    <row r="29" spans="5:5">
      <c r="E29" s="11"/>
    </row>
    <row r="30" spans="5:5">
      <c r="E30" s="11"/>
    </row>
    <row r="31" spans="5:5">
      <c r="E31" s="11"/>
    </row>
    <row r="32" spans="5:5">
      <c r="E3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FF3-06B5-4D56-8B26-0E5E818220D7}">
  <dimension ref="A1:W100"/>
  <sheetViews>
    <sheetView workbookViewId="0">
      <selection activeCell="A15" sqref="A15:M15"/>
    </sheetView>
  </sheetViews>
  <sheetFormatPr defaultRowHeight="14.25"/>
  <cols>
    <col min="1" max="2" width="10.19921875" style="5" customWidth="1"/>
    <col min="3" max="3" width="10.73046875" style="8" customWidth="1"/>
    <col min="4" max="4" width="11.53125" style="8" customWidth="1"/>
    <col min="5" max="5" width="9" style="8" customWidth="1"/>
    <col min="6" max="12" width="9.1328125" style="8" customWidth="1"/>
    <col min="13" max="13" width="9.1328125" style="18" customWidth="1"/>
    <col min="14" max="14" width="2.53125" customWidth="1"/>
    <col min="15" max="15" width="8.796875" style="5" customWidth="1"/>
    <col min="16" max="16" width="11.73046875" style="5" customWidth="1"/>
    <col min="17" max="21" width="14.19921875" style="4" customWidth="1"/>
    <col min="22" max="22" width="14.19921875" style="5" customWidth="1"/>
  </cols>
  <sheetData>
    <row r="1" spans="1:23" ht="42" customHeight="1">
      <c r="A1" s="3" t="s">
        <v>12</v>
      </c>
      <c r="B1" s="3" t="s">
        <v>13</v>
      </c>
      <c r="C1" s="7" t="s">
        <v>49</v>
      </c>
      <c r="D1" s="7" t="s">
        <v>11</v>
      </c>
      <c r="E1" s="6" t="s">
        <v>10</v>
      </c>
      <c r="F1" s="6" t="s">
        <v>14</v>
      </c>
      <c r="G1" s="6" t="s">
        <v>15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17</v>
      </c>
      <c r="N1" s="1"/>
      <c r="O1" s="3" t="s">
        <v>40</v>
      </c>
      <c r="P1" s="3" t="s">
        <v>41</v>
      </c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3" t="s">
        <v>5</v>
      </c>
      <c r="W1" s="2" t="s">
        <v>7</v>
      </c>
    </row>
    <row r="2" spans="1:23">
      <c r="A2" s="12">
        <v>2</v>
      </c>
      <c r="B2" s="12">
        <v>3</v>
      </c>
      <c r="C2" s="8">
        <v>26.7</v>
      </c>
      <c r="D2" s="11">
        <f>1/C2</f>
        <v>3.7453183520599252E-2</v>
      </c>
      <c r="E2" s="8">
        <f t="shared" ref="E2:E33" si="0">IF(F2=0,0,($Q$2/(C2*$O$2)))</f>
        <v>217.05681983681265</v>
      </c>
      <c r="F2" s="8">
        <f>_xlfn.XLOOKUP(A2,'AYR RACE 7 - WIN'!B:B,'AYR RACE 7 - WIN'!D:D)</f>
        <v>3.6</v>
      </c>
      <c r="G2" s="8">
        <f>_xlfn.XLOOKUP(B2,'AYR RACE 7 - WIN'!B:B,'AYR RACE 7 - WIN'!D:D)</f>
        <v>8.6999999999999993</v>
      </c>
      <c r="H2" s="8">
        <f>IFERROR(1/F2,0)</f>
        <v>0.27777777777777779</v>
      </c>
      <c r="I2" s="8">
        <f>IFERROR(1/G2,0)</f>
        <v>0.1149425287356322</v>
      </c>
      <c r="J2" s="8">
        <f>1-H2</f>
        <v>0.72222222222222221</v>
      </c>
      <c r="K2" s="10">
        <f>H2*I2/J2</f>
        <v>4.420866489832008E-2</v>
      </c>
      <c r="L2" s="16">
        <f>IFERROR(1/K2,0)</f>
        <v>22.619999999999994</v>
      </c>
      <c r="M2" s="17">
        <f>IFERROR(C2/L2-1,0)</f>
        <v>0.18037135278514627</v>
      </c>
      <c r="O2" s="11">
        <f>SUM(D:D)</f>
        <v>1.3603749097005533</v>
      </c>
      <c r="P2" s="15">
        <f>SUM(E:E)</f>
        <v>7816.4505903567788</v>
      </c>
      <c r="Q2" s="4">
        <v>7883.94</v>
      </c>
      <c r="R2" s="4">
        <v>5912.96</v>
      </c>
      <c r="S2" s="4">
        <v>0</v>
      </c>
      <c r="T2" s="4">
        <v>0</v>
      </c>
      <c r="U2" s="4">
        <v>0</v>
      </c>
      <c r="V2" s="5" t="s">
        <v>6</v>
      </c>
      <c r="W2" s="4">
        <v>16.2</v>
      </c>
    </row>
    <row r="3" spans="1:23">
      <c r="A3" s="5">
        <v>2</v>
      </c>
      <c r="B3" s="5">
        <v>6</v>
      </c>
      <c r="C3" s="8">
        <v>119.8</v>
      </c>
      <c r="D3" s="11">
        <f t="shared" ref="D3:D99" si="1">1/C3</f>
        <v>8.3472454090150246E-3</v>
      </c>
      <c r="E3" s="8">
        <f t="shared" si="0"/>
        <v>48.375768694848887</v>
      </c>
      <c r="F3" s="8">
        <f>_xlfn.XLOOKUP(A3,'AYR RACE 7 - WIN'!B:B,'AYR RACE 7 - WIN'!D:D)</f>
        <v>3.6</v>
      </c>
      <c r="G3" s="8">
        <f>_xlfn.XLOOKUP(B3,'AYR RACE 7 - WIN'!B:B,'AYR RACE 7 - WIN'!D:D)</f>
        <v>48.1</v>
      </c>
      <c r="H3" s="8">
        <f t="shared" ref="H3:H66" si="2">IFERROR(1/F3,0)</f>
        <v>0.27777777777777779</v>
      </c>
      <c r="I3" s="8">
        <f t="shared" ref="I3:I66" si="3">IFERROR(1/G3,0)</f>
        <v>2.0790020790020788E-2</v>
      </c>
      <c r="J3" s="8">
        <f t="shared" ref="J3:J66" si="4">1-H3</f>
        <v>0.72222222222222221</v>
      </c>
      <c r="K3" s="10">
        <f t="shared" ref="K3:K66" si="5">H3*I3/J3</f>
        <v>7.9961618423156876E-3</v>
      </c>
      <c r="L3" s="16">
        <f t="shared" ref="L3:L66" si="6">IFERROR(1/K3,0)</f>
        <v>125.06000000000002</v>
      </c>
      <c r="M3" s="17">
        <f t="shared" ref="M3:M66" si="7">IFERROR(C3/L3-1,0)</f>
        <v>-4.2059811290580673E-2</v>
      </c>
    </row>
    <row r="4" spans="1:23">
      <c r="A4" s="5">
        <v>2</v>
      </c>
      <c r="B4" s="5">
        <v>9</v>
      </c>
      <c r="C4" s="8">
        <v>30.4</v>
      </c>
      <c r="D4" s="11">
        <f t="shared" si="1"/>
        <v>3.2894736842105261E-2</v>
      </c>
      <c r="E4" s="8">
        <f t="shared" si="0"/>
        <v>190.63872005404266</v>
      </c>
      <c r="F4" s="8">
        <f>_xlfn.XLOOKUP(A4,'AYR RACE 7 - WIN'!B:B,'AYR RACE 7 - WIN'!D:D)</f>
        <v>3.6</v>
      </c>
      <c r="G4" s="8">
        <f>_xlfn.XLOOKUP(B4,'AYR RACE 7 - WIN'!B:B,'AYR RACE 7 - WIN'!D:D)</f>
        <v>19.8</v>
      </c>
      <c r="H4" s="8">
        <f t="shared" si="2"/>
        <v>0.27777777777777779</v>
      </c>
      <c r="I4" s="8">
        <f t="shared" si="3"/>
        <v>5.0505050505050504E-2</v>
      </c>
      <c r="J4" s="8">
        <f t="shared" si="4"/>
        <v>0.72222222222222221</v>
      </c>
      <c r="K4" s="10">
        <f t="shared" si="5"/>
        <v>1.9425019425019424E-2</v>
      </c>
      <c r="L4" s="16">
        <f t="shared" si="6"/>
        <v>51.480000000000004</v>
      </c>
      <c r="M4" s="17">
        <f t="shared" si="7"/>
        <v>-0.40947940947940953</v>
      </c>
    </row>
    <row r="5" spans="1:23">
      <c r="A5" s="5">
        <v>3</v>
      </c>
      <c r="B5" s="5">
        <v>2</v>
      </c>
      <c r="C5" s="8">
        <v>38.5</v>
      </c>
      <c r="D5" s="11">
        <f t="shared" si="1"/>
        <v>2.5974025974025976E-2</v>
      </c>
      <c r="E5" s="8">
        <f t="shared" si="0"/>
        <v>150.53031401669864</v>
      </c>
      <c r="F5" s="8">
        <f>_xlfn.XLOOKUP(A5,'AYR RACE 7 - WIN'!B:B,'AYR RACE 7 - WIN'!D:D)</f>
        <v>8.6999999999999993</v>
      </c>
      <c r="G5" s="8">
        <f>_xlfn.XLOOKUP(B5,'AYR RACE 7 - WIN'!B:B,'AYR RACE 7 - WIN'!D:D)</f>
        <v>3.6</v>
      </c>
      <c r="H5" s="8">
        <f t="shared" si="2"/>
        <v>0.1149425287356322</v>
      </c>
      <c r="I5" s="8">
        <f t="shared" si="3"/>
        <v>0.27777777777777779</v>
      </c>
      <c r="J5" s="8">
        <f t="shared" si="4"/>
        <v>0.88505747126436785</v>
      </c>
      <c r="K5" s="10">
        <f t="shared" si="5"/>
        <v>3.6075036075036086E-2</v>
      </c>
      <c r="L5" s="16">
        <f t="shared" si="6"/>
        <v>27.719999999999992</v>
      </c>
      <c r="M5" s="17">
        <f t="shared" si="7"/>
        <v>0.38888888888888928</v>
      </c>
    </row>
    <row r="6" spans="1:23">
      <c r="A6" s="5">
        <v>3</v>
      </c>
      <c r="B6" s="5">
        <v>6</v>
      </c>
      <c r="C6" s="8">
        <v>199</v>
      </c>
      <c r="D6" s="11">
        <f t="shared" si="1"/>
        <v>5.0251256281407036E-3</v>
      </c>
      <c r="E6" s="8">
        <f t="shared" si="0"/>
        <v>29.122698942929134</v>
      </c>
      <c r="F6" s="8">
        <f>_xlfn.XLOOKUP(A6,'AYR RACE 7 - WIN'!B:B,'AYR RACE 7 - WIN'!D:D)</f>
        <v>8.6999999999999993</v>
      </c>
      <c r="G6" s="8">
        <f>_xlfn.XLOOKUP(B6,'AYR RACE 7 - WIN'!B:B,'AYR RACE 7 - WIN'!D:D)</f>
        <v>48.1</v>
      </c>
      <c r="H6" s="8">
        <f t="shared" si="2"/>
        <v>0.1149425287356322</v>
      </c>
      <c r="I6" s="8">
        <f t="shared" si="3"/>
        <v>2.0790020790020788E-2</v>
      </c>
      <c r="J6" s="8">
        <f t="shared" si="4"/>
        <v>0.88505747126436785</v>
      </c>
      <c r="K6" s="10">
        <f t="shared" si="5"/>
        <v>2.7000027000026999E-3</v>
      </c>
      <c r="L6" s="16">
        <f t="shared" si="6"/>
        <v>370.37</v>
      </c>
      <c r="M6" s="17">
        <f t="shared" si="7"/>
        <v>-0.46269946269946272</v>
      </c>
    </row>
    <row r="7" spans="1:23">
      <c r="A7" s="5">
        <v>3</v>
      </c>
      <c r="B7" s="5">
        <v>9</v>
      </c>
      <c r="C7" s="8">
        <v>106.3</v>
      </c>
      <c r="D7" s="11">
        <f t="shared" si="1"/>
        <v>9.4073377234242719E-3</v>
      </c>
      <c r="E7" s="8">
        <f t="shared" si="0"/>
        <v>54.519445810375323</v>
      </c>
      <c r="F7" s="8">
        <f>_xlfn.XLOOKUP(A7,'AYR RACE 7 - WIN'!B:B,'AYR RACE 7 - WIN'!D:D)</f>
        <v>8.6999999999999993</v>
      </c>
      <c r="G7" s="8">
        <f>_xlfn.XLOOKUP(B7,'AYR RACE 7 - WIN'!B:B,'AYR RACE 7 - WIN'!D:D)</f>
        <v>19.8</v>
      </c>
      <c r="H7" s="8">
        <f t="shared" si="2"/>
        <v>0.1149425287356322</v>
      </c>
      <c r="I7" s="8">
        <f t="shared" si="3"/>
        <v>5.0505050505050504E-2</v>
      </c>
      <c r="J7" s="8">
        <f t="shared" si="4"/>
        <v>0.88505747126436785</v>
      </c>
      <c r="K7" s="10">
        <f t="shared" si="5"/>
        <v>6.5590974681883777E-3</v>
      </c>
      <c r="L7" s="16">
        <f t="shared" si="6"/>
        <v>152.45999999999998</v>
      </c>
      <c r="M7" s="17">
        <f t="shared" si="7"/>
        <v>-0.3027679391315754</v>
      </c>
    </row>
    <row r="8" spans="1:23">
      <c r="A8" s="5">
        <v>6</v>
      </c>
      <c r="B8" s="5">
        <v>2</v>
      </c>
      <c r="C8" s="8">
        <v>241.5</v>
      </c>
      <c r="D8" s="11">
        <f t="shared" si="1"/>
        <v>4.140786749482402E-3</v>
      </c>
      <c r="E8" s="8">
        <f t="shared" si="0"/>
        <v>23.99758629251717</v>
      </c>
      <c r="F8" s="8">
        <f>_xlfn.XLOOKUP(A8,'AYR RACE 7 - WIN'!B:B,'AYR RACE 7 - WIN'!D:D)</f>
        <v>48.1</v>
      </c>
      <c r="G8" s="8">
        <f>_xlfn.XLOOKUP(B8,'AYR RACE 7 - WIN'!B:B,'AYR RACE 7 - WIN'!D:D)</f>
        <v>3.6</v>
      </c>
      <c r="H8" s="8">
        <f t="shared" si="2"/>
        <v>2.0790020790020788E-2</v>
      </c>
      <c r="I8" s="8">
        <f t="shared" si="3"/>
        <v>0.27777777777777779</v>
      </c>
      <c r="J8" s="8">
        <f t="shared" si="4"/>
        <v>0.97920997920997921</v>
      </c>
      <c r="K8" s="10">
        <f t="shared" si="5"/>
        <v>5.8976173625855154E-3</v>
      </c>
      <c r="L8" s="16">
        <f t="shared" si="6"/>
        <v>169.56</v>
      </c>
      <c r="M8" s="17">
        <f t="shared" si="7"/>
        <v>0.42427459306440207</v>
      </c>
    </row>
    <row r="9" spans="1:23">
      <c r="A9" s="5">
        <v>6</v>
      </c>
      <c r="B9" s="5">
        <v>3</v>
      </c>
      <c r="C9" s="8">
        <v>278.5</v>
      </c>
      <c r="D9" s="11">
        <f t="shared" si="1"/>
        <v>3.5906642728904849E-3</v>
      </c>
      <c r="E9" s="8">
        <f t="shared" si="0"/>
        <v>20.809397090279703</v>
      </c>
      <c r="F9" s="8">
        <f>_xlfn.XLOOKUP(A9,'AYR RACE 7 - WIN'!B:B,'AYR RACE 7 - WIN'!D:D)</f>
        <v>48.1</v>
      </c>
      <c r="G9" s="8">
        <f>_xlfn.XLOOKUP(B9,'AYR RACE 7 - WIN'!B:B,'AYR RACE 7 - WIN'!D:D)</f>
        <v>8.6999999999999993</v>
      </c>
      <c r="H9" s="8">
        <f t="shared" si="2"/>
        <v>2.0790020790020788E-2</v>
      </c>
      <c r="I9" s="8">
        <f t="shared" si="3"/>
        <v>0.1149425287356322</v>
      </c>
      <c r="J9" s="8">
        <f t="shared" si="4"/>
        <v>0.97920997920997921</v>
      </c>
      <c r="K9" s="10">
        <f t="shared" si="5"/>
        <v>2.4403933914146961E-3</v>
      </c>
      <c r="L9" s="16">
        <f t="shared" si="6"/>
        <v>409.77</v>
      </c>
      <c r="M9" s="17">
        <f t="shared" si="7"/>
        <v>-0.32035044049100714</v>
      </c>
    </row>
    <row r="10" spans="1:23">
      <c r="A10" s="5">
        <v>6</v>
      </c>
      <c r="B10" s="5">
        <v>9</v>
      </c>
      <c r="C10" s="8">
        <v>503.2</v>
      </c>
      <c r="D10" s="11">
        <f t="shared" si="1"/>
        <v>1.9872813990461048E-3</v>
      </c>
      <c r="E10" s="8">
        <f t="shared" si="0"/>
        <v>11.517124581961243</v>
      </c>
      <c r="F10" s="8">
        <f>_xlfn.XLOOKUP(A10,'AYR RACE 7 - WIN'!B:B,'AYR RACE 7 - WIN'!D:D)</f>
        <v>48.1</v>
      </c>
      <c r="G10" s="8">
        <f>_xlfn.XLOOKUP(B10,'AYR RACE 7 - WIN'!B:B,'AYR RACE 7 - WIN'!D:D)</f>
        <v>19.8</v>
      </c>
      <c r="H10" s="8">
        <f t="shared" si="2"/>
        <v>2.0790020790020788E-2</v>
      </c>
      <c r="I10" s="8">
        <f t="shared" si="3"/>
        <v>5.0505050505050504E-2</v>
      </c>
      <c r="J10" s="8">
        <f t="shared" si="4"/>
        <v>0.97920997920997921</v>
      </c>
      <c r="K10" s="10">
        <f t="shared" si="5"/>
        <v>1.0722940659246389E-3</v>
      </c>
      <c r="L10" s="16">
        <f t="shared" si="6"/>
        <v>932.58000000000027</v>
      </c>
      <c r="M10" s="17">
        <f t="shared" si="7"/>
        <v>-0.46042162602672176</v>
      </c>
    </row>
    <row r="11" spans="1:23">
      <c r="A11" s="5">
        <v>9</v>
      </c>
      <c r="B11" s="5">
        <v>2</v>
      </c>
      <c r="C11" s="8">
        <v>69.5</v>
      </c>
      <c r="D11" s="11">
        <f t="shared" si="1"/>
        <v>1.4388489208633094E-2</v>
      </c>
      <c r="E11" s="8">
        <f t="shared" si="0"/>
        <v>83.387296253854643</v>
      </c>
      <c r="F11" s="8">
        <f>_xlfn.XLOOKUP(A11,'AYR RACE 7 - WIN'!B:B,'AYR RACE 7 - WIN'!D:D)</f>
        <v>19.8</v>
      </c>
      <c r="G11" s="8">
        <f>_xlfn.XLOOKUP(B11,'AYR RACE 7 - WIN'!B:B,'AYR RACE 7 - WIN'!D:D)</f>
        <v>3.6</v>
      </c>
      <c r="H11" s="8">
        <f t="shared" si="2"/>
        <v>5.0505050505050504E-2</v>
      </c>
      <c r="I11" s="8">
        <f t="shared" si="3"/>
        <v>0.27777777777777779</v>
      </c>
      <c r="J11" s="8">
        <f t="shared" si="4"/>
        <v>0.9494949494949495</v>
      </c>
      <c r="K11" s="10">
        <f t="shared" si="5"/>
        <v>1.4775413711583925E-2</v>
      </c>
      <c r="L11" s="16">
        <f t="shared" si="6"/>
        <v>67.679999999999993</v>
      </c>
      <c r="M11" s="17">
        <f t="shared" si="7"/>
        <v>2.6891252955082878E-2</v>
      </c>
    </row>
    <row r="12" spans="1:23">
      <c r="A12" s="5">
        <v>9</v>
      </c>
      <c r="B12" s="5">
        <v>3</v>
      </c>
      <c r="C12" s="8">
        <v>144.69999999999999</v>
      </c>
      <c r="D12" s="11">
        <f t="shared" si="1"/>
        <v>6.9108500345542506E-3</v>
      </c>
      <c r="E12" s="8">
        <f t="shared" si="0"/>
        <v>40.051258394214912</v>
      </c>
      <c r="F12" s="8">
        <f>_xlfn.XLOOKUP(A12,'AYR RACE 7 - WIN'!B:B,'AYR RACE 7 - WIN'!D:D)</f>
        <v>19.8</v>
      </c>
      <c r="G12" s="8">
        <f>_xlfn.XLOOKUP(B12,'AYR RACE 7 - WIN'!B:B,'AYR RACE 7 - WIN'!D:D)</f>
        <v>8.6999999999999993</v>
      </c>
      <c r="H12" s="8">
        <f t="shared" si="2"/>
        <v>5.0505050505050504E-2</v>
      </c>
      <c r="I12" s="8">
        <f t="shared" si="3"/>
        <v>0.1149425287356322</v>
      </c>
      <c r="J12" s="8">
        <f t="shared" si="4"/>
        <v>0.9494949494949495</v>
      </c>
      <c r="K12" s="10">
        <f t="shared" si="5"/>
        <v>6.1139642944485215E-3</v>
      </c>
      <c r="L12" s="16">
        <f t="shared" si="6"/>
        <v>163.55999999999997</v>
      </c>
      <c r="M12" s="17">
        <f t="shared" si="7"/>
        <v>-0.11530936659329905</v>
      </c>
    </row>
    <row r="13" spans="1:23">
      <c r="A13" s="5">
        <v>9</v>
      </c>
      <c r="B13" s="5">
        <v>6</v>
      </c>
      <c r="C13" s="8">
        <v>466.6</v>
      </c>
      <c r="D13" s="11">
        <f t="shared" si="1"/>
        <v>2.1431633090441492E-3</v>
      </c>
      <c r="E13" s="8">
        <f t="shared" si="0"/>
        <v>12.420525267130085</v>
      </c>
      <c r="F13" s="8">
        <f>_xlfn.XLOOKUP(A13,'AYR RACE 7 - WIN'!B:B,'AYR RACE 7 - WIN'!D:D)</f>
        <v>19.8</v>
      </c>
      <c r="G13" s="8">
        <f>_xlfn.XLOOKUP(B13,'AYR RACE 7 - WIN'!B:B,'AYR RACE 7 - WIN'!D:D)</f>
        <v>48.1</v>
      </c>
      <c r="H13" s="8">
        <f t="shared" si="2"/>
        <v>5.0505050505050504E-2</v>
      </c>
      <c r="I13" s="8">
        <f t="shared" si="3"/>
        <v>2.0790020790020788E-2</v>
      </c>
      <c r="J13" s="8">
        <f t="shared" si="4"/>
        <v>0.9494949494949495</v>
      </c>
      <c r="K13" s="10">
        <f t="shared" si="5"/>
        <v>1.1058521696819567E-3</v>
      </c>
      <c r="L13" s="16">
        <f t="shared" si="6"/>
        <v>904.2800000000002</v>
      </c>
      <c r="M13" s="17">
        <f t="shared" si="7"/>
        <v>-0.48400937762639895</v>
      </c>
    </row>
    <row r="14" spans="1:23">
      <c r="A14" s="5">
        <v>4</v>
      </c>
      <c r="B14" s="5">
        <v>7</v>
      </c>
      <c r="C14" s="14">
        <v>9.1</v>
      </c>
      <c r="D14" s="13">
        <f t="shared" si="1"/>
        <v>0.10989010989010989</v>
      </c>
      <c r="E14" s="8">
        <f t="shared" si="0"/>
        <v>636.85902083987878</v>
      </c>
      <c r="F14" s="14">
        <f>_xlfn.XLOOKUP(A14,'AYR RACE 7 - WIN'!B:B,'AYR RACE 7 - WIN'!D:D)</f>
        <v>2.4</v>
      </c>
      <c r="G14" s="14">
        <f>_xlfn.XLOOKUP(B14,'AYR RACE 7 - WIN'!B:B,'AYR RACE 7 - WIN'!D:D)</f>
        <v>4.2</v>
      </c>
      <c r="H14" s="8">
        <f t="shared" si="2"/>
        <v>0.41666666666666669</v>
      </c>
      <c r="I14" s="8">
        <f t="shared" si="3"/>
        <v>0.23809523809523808</v>
      </c>
      <c r="J14" s="8">
        <f t="shared" si="4"/>
        <v>0.58333333333333326</v>
      </c>
      <c r="K14" s="10">
        <f t="shared" si="5"/>
        <v>0.17006802721088438</v>
      </c>
      <c r="L14" s="16">
        <f t="shared" si="6"/>
        <v>5.879999999999999</v>
      </c>
      <c r="M14" s="17">
        <f t="shared" si="7"/>
        <v>0.54761904761904789</v>
      </c>
    </row>
    <row r="15" spans="1:23">
      <c r="A15" s="19">
        <v>2</v>
      </c>
      <c r="B15" s="19">
        <v>7</v>
      </c>
      <c r="C15" s="22">
        <v>16.2</v>
      </c>
      <c r="D15" s="20">
        <f t="shared" si="1"/>
        <v>6.1728395061728399E-2</v>
      </c>
      <c r="E15" s="22">
        <f t="shared" si="0"/>
        <v>357.74179565696897</v>
      </c>
      <c r="F15" s="22">
        <f>_xlfn.XLOOKUP(A15,'AYR RACE 7 - WIN'!B:B,'AYR RACE 7 - WIN'!D:D)</f>
        <v>3.6</v>
      </c>
      <c r="G15" s="22">
        <f>_xlfn.XLOOKUP(B15,'AYR RACE 7 - WIN'!B:B,'AYR RACE 7 - WIN'!D:D)</f>
        <v>4.2</v>
      </c>
      <c r="H15" s="22">
        <f t="shared" si="2"/>
        <v>0.27777777777777779</v>
      </c>
      <c r="I15" s="22">
        <f t="shared" si="3"/>
        <v>0.23809523809523808</v>
      </c>
      <c r="J15" s="22">
        <f t="shared" si="4"/>
        <v>0.72222222222222221</v>
      </c>
      <c r="K15" s="23">
        <f t="shared" si="5"/>
        <v>9.1575091575091569E-2</v>
      </c>
      <c r="L15" s="24">
        <f t="shared" si="6"/>
        <v>10.92</v>
      </c>
      <c r="M15" s="25">
        <f t="shared" si="7"/>
        <v>0.48351648351648335</v>
      </c>
    </row>
    <row r="16" spans="1:23">
      <c r="A16" s="5">
        <v>7</v>
      </c>
      <c r="B16" s="5">
        <v>2</v>
      </c>
      <c r="C16" s="8">
        <v>18.399999999999999</v>
      </c>
      <c r="D16" s="11">
        <f t="shared" si="1"/>
        <v>5.4347826086956527E-2</v>
      </c>
      <c r="E16" s="8">
        <f t="shared" si="0"/>
        <v>314.96832008928789</v>
      </c>
      <c r="F16" s="8">
        <f>_xlfn.XLOOKUP(A16,'AYR RACE 7 - WIN'!B:B,'AYR RACE 7 - WIN'!D:D)</f>
        <v>4.2</v>
      </c>
      <c r="G16" s="8">
        <f>_xlfn.XLOOKUP(B16,'AYR RACE 7 - WIN'!B:B,'AYR RACE 7 - WIN'!D:D)</f>
        <v>3.6</v>
      </c>
      <c r="H16" s="8">
        <f t="shared" si="2"/>
        <v>0.23809523809523808</v>
      </c>
      <c r="I16" s="8">
        <f t="shared" si="3"/>
        <v>0.27777777777777779</v>
      </c>
      <c r="J16" s="8">
        <f t="shared" si="4"/>
        <v>0.76190476190476186</v>
      </c>
      <c r="K16" s="10">
        <f t="shared" si="5"/>
        <v>8.6805555555555552E-2</v>
      </c>
      <c r="L16" s="16">
        <f t="shared" si="6"/>
        <v>11.52</v>
      </c>
      <c r="M16" s="17">
        <f t="shared" si="7"/>
        <v>0.5972222222222221</v>
      </c>
    </row>
    <row r="17" spans="1:13">
      <c r="A17" s="5">
        <v>8</v>
      </c>
      <c r="B17" s="5">
        <v>10</v>
      </c>
      <c r="C17" s="8">
        <v>357.7</v>
      </c>
      <c r="D17" s="11">
        <f t="shared" si="1"/>
        <v>2.7956388034665923E-3</v>
      </c>
      <c r="E17" s="8">
        <f t="shared" si="0"/>
        <v>16.201892898079109</v>
      </c>
      <c r="F17" s="8">
        <f>_xlfn.XLOOKUP(A17,'AYR RACE 7 - WIN'!B:B,'AYR RACE 7 - WIN'!D:D)</f>
        <v>40.5</v>
      </c>
      <c r="G17" s="8">
        <f>_xlfn.XLOOKUP(B17,'AYR RACE 7 - WIN'!B:B,'AYR RACE 7 - WIN'!D:D)</f>
        <v>17.5</v>
      </c>
      <c r="H17" s="8">
        <f t="shared" si="2"/>
        <v>2.4691358024691357E-2</v>
      </c>
      <c r="I17" s="8">
        <f t="shared" si="3"/>
        <v>5.7142857142857141E-2</v>
      </c>
      <c r="J17" s="8">
        <f t="shared" si="4"/>
        <v>0.97530864197530864</v>
      </c>
      <c r="K17" s="10">
        <f t="shared" si="5"/>
        <v>1.446654611211573E-3</v>
      </c>
      <c r="L17" s="16">
        <f t="shared" si="6"/>
        <v>691.25000000000011</v>
      </c>
      <c r="M17" s="17">
        <f t="shared" si="7"/>
        <v>-0.48253164556962036</v>
      </c>
    </row>
    <row r="18" spans="1:13">
      <c r="A18" s="5">
        <v>3</v>
      </c>
      <c r="B18" s="5">
        <v>10</v>
      </c>
      <c r="C18" s="8">
        <v>93.6</v>
      </c>
      <c r="D18" s="11">
        <f t="shared" si="1"/>
        <v>1.0683760683760684E-2</v>
      </c>
      <c r="E18" s="8">
        <f t="shared" si="0"/>
        <v>61.916849248321554</v>
      </c>
      <c r="F18" s="8">
        <f>_xlfn.XLOOKUP(A18,'AYR RACE 7 - WIN'!B:B,'AYR RACE 7 - WIN'!D:D)</f>
        <v>8.6999999999999993</v>
      </c>
      <c r="G18" s="8">
        <f>_xlfn.XLOOKUP(B18,'AYR RACE 7 - WIN'!B:B,'AYR RACE 7 - WIN'!D:D)</f>
        <v>17.5</v>
      </c>
      <c r="H18" s="8">
        <f t="shared" si="2"/>
        <v>0.1149425287356322</v>
      </c>
      <c r="I18" s="8">
        <f t="shared" si="3"/>
        <v>5.7142857142857141E-2</v>
      </c>
      <c r="J18" s="8">
        <f t="shared" si="4"/>
        <v>0.88505747126436785</v>
      </c>
      <c r="K18" s="10">
        <f t="shared" si="5"/>
        <v>7.4211502782931356E-3</v>
      </c>
      <c r="L18" s="16">
        <f t="shared" si="6"/>
        <v>134.75</v>
      </c>
      <c r="M18" s="17">
        <f t="shared" si="7"/>
        <v>-0.30538033395176256</v>
      </c>
    </row>
    <row r="19" spans="1:13">
      <c r="A19" s="5">
        <v>4</v>
      </c>
      <c r="B19" s="5">
        <v>9</v>
      </c>
      <c r="C19" s="8">
        <v>24.6</v>
      </c>
      <c r="D19" s="11">
        <f t="shared" si="1"/>
        <v>4.065040650406504E-2</v>
      </c>
      <c r="E19" s="8">
        <f t="shared" si="0"/>
        <v>235.58606055458932</v>
      </c>
      <c r="F19" s="8">
        <f>_xlfn.XLOOKUP(A19,'AYR RACE 7 - WIN'!B:B,'AYR RACE 7 - WIN'!D:D)</f>
        <v>2.4</v>
      </c>
      <c r="G19" s="8">
        <f>_xlfn.XLOOKUP(B19,'AYR RACE 7 - WIN'!B:B,'AYR RACE 7 - WIN'!D:D)</f>
        <v>19.8</v>
      </c>
      <c r="H19" s="8">
        <f t="shared" si="2"/>
        <v>0.41666666666666669</v>
      </c>
      <c r="I19" s="8">
        <f t="shared" si="3"/>
        <v>5.0505050505050504E-2</v>
      </c>
      <c r="J19" s="8">
        <f t="shared" si="4"/>
        <v>0.58333333333333326</v>
      </c>
      <c r="K19" s="10">
        <f t="shared" si="5"/>
        <v>3.6075036075036079E-2</v>
      </c>
      <c r="L19" s="16">
        <f t="shared" si="6"/>
        <v>27.719999999999995</v>
      </c>
      <c r="M19" s="17">
        <f t="shared" si="7"/>
        <v>-0.11255411255411241</v>
      </c>
    </row>
    <row r="20" spans="1:13">
      <c r="A20" s="5">
        <v>9</v>
      </c>
      <c r="B20" s="5">
        <v>4</v>
      </c>
      <c r="C20" s="8">
        <v>77.3</v>
      </c>
      <c r="D20" s="11">
        <f t="shared" si="1"/>
        <v>1.2936610608020699E-2</v>
      </c>
      <c r="E20" s="8">
        <f t="shared" si="0"/>
        <v>74.973054199778744</v>
      </c>
      <c r="F20" s="8">
        <f>_xlfn.XLOOKUP(A20,'AYR RACE 7 - WIN'!B:B,'AYR RACE 7 - WIN'!D:D)</f>
        <v>19.8</v>
      </c>
      <c r="G20" s="8">
        <f>_xlfn.XLOOKUP(B20,'AYR RACE 7 - WIN'!B:B,'AYR RACE 7 - WIN'!D:D)</f>
        <v>2.4</v>
      </c>
      <c r="H20" s="8">
        <f t="shared" si="2"/>
        <v>5.0505050505050504E-2</v>
      </c>
      <c r="I20" s="8">
        <f t="shared" si="3"/>
        <v>0.41666666666666669</v>
      </c>
      <c r="J20" s="8">
        <f t="shared" si="4"/>
        <v>0.9494949494949495</v>
      </c>
      <c r="K20" s="10">
        <f t="shared" si="5"/>
        <v>2.2163120567375887E-2</v>
      </c>
      <c r="L20" s="16">
        <f t="shared" si="6"/>
        <v>45.12</v>
      </c>
      <c r="M20" s="17">
        <f t="shared" si="7"/>
        <v>0.71320921985815611</v>
      </c>
    </row>
    <row r="21" spans="1:13">
      <c r="A21" s="5">
        <v>10</v>
      </c>
      <c r="B21" s="5">
        <v>3</v>
      </c>
      <c r="C21" s="8">
        <v>118.6</v>
      </c>
      <c r="D21" s="11">
        <f t="shared" si="1"/>
        <v>8.4317032040472171E-3</v>
      </c>
      <c r="E21" s="8">
        <f t="shared" si="0"/>
        <v>48.865236843532017</v>
      </c>
      <c r="F21" s="8">
        <f>_xlfn.XLOOKUP(A21,'AYR RACE 7 - WIN'!B:B,'AYR RACE 7 - WIN'!D:D)</f>
        <v>17.5</v>
      </c>
      <c r="G21" s="8">
        <f>_xlfn.XLOOKUP(B21,'AYR RACE 7 - WIN'!B:B,'AYR RACE 7 - WIN'!D:D)</f>
        <v>8.6999999999999993</v>
      </c>
      <c r="H21" s="8">
        <f t="shared" si="2"/>
        <v>5.7142857142857141E-2</v>
      </c>
      <c r="I21" s="8">
        <f t="shared" si="3"/>
        <v>0.1149425287356322</v>
      </c>
      <c r="J21" s="8">
        <f t="shared" si="4"/>
        <v>0.94285714285714284</v>
      </c>
      <c r="K21" s="10">
        <f t="shared" si="5"/>
        <v>6.9662138627655879E-3</v>
      </c>
      <c r="L21" s="16">
        <f t="shared" si="6"/>
        <v>143.54999999999998</v>
      </c>
      <c r="M21" s="17">
        <f t="shared" si="7"/>
        <v>-0.17380703587600133</v>
      </c>
    </row>
    <row r="22" spans="1:13">
      <c r="A22" s="5">
        <v>2</v>
      </c>
      <c r="B22" s="5">
        <v>10</v>
      </c>
      <c r="C22" s="8">
        <v>38.1</v>
      </c>
      <c r="D22" s="11">
        <f t="shared" si="1"/>
        <v>2.6246719160104987E-2</v>
      </c>
      <c r="E22" s="8">
        <f t="shared" si="0"/>
        <v>152.1106847675301</v>
      </c>
      <c r="F22" s="8">
        <f>_xlfn.XLOOKUP(A22,'AYR RACE 7 - WIN'!B:B,'AYR RACE 7 - WIN'!D:D)</f>
        <v>3.6</v>
      </c>
      <c r="G22" s="8">
        <f>_xlfn.XLOOKUP(B22,'AYR RACE 7 - WIN'!B:B,'AYR RACE 7 - WIN'!D:D)</f>
        <v>17.5</v>
      </c>
      <c r="H22" s="8">
        <f t="shared" si="2"/>
        <v>0.27777777777777779</v>
      </c>
      <c r="I22" s="8">
        <f t="shared" si="3"/>
        <v>5.7142857142857141E-2</v>
      </c>
      <c r="J22" s="8">
        <f t="shared" si="4"/>
        <v>0.72222222222222221</v>
      </c>
      <c r="K22" s="10">
        <f t="shared" si="5"/>
        <v>2.1978021978021976E-2</v>
      </c>
      <c r="L22" s="16">
        <f t="shared" si="6"/>
        <v>45.500000000000007</v>
      </c>
      <c r="M22" s="17">
        <f t="shared" si="7"/>
        <v>-0.16263736263736273</v>
      </c>
    </row>
    <row r="23" spans="1:13">
      <c r="A23" s="5">
        <v>3</v>
      </c>
      <c r="B23" s="5">
        <v>8</v>
      </c>
      <c r="C23" s="8">
        <v>223.7</v>
      </c>
      <c r="D23" s="11">
        <f t="shared" si="1"/>
        <v>4.4702726866338851E-3</v>
      </c>
      <c r="E23" s="8">
        <f t="shared" si="0"/>
        <v>25.907094723481887</v>
      </c>
      <c r="F23" s="8">
        <f>_xlfn.XLOOKUP(A23,'AYR RACE 7 - WIN'!B:B,'AYR RACE 7 - WIN'!D:D)</f>
        <v>8.6999999999999993</v>
      </c>
      <c r="G23" s="8">
        <f>_xlfn.XLOOKUP(B23,'AYR RACE 7 - WIN'!B:B,'AYR RACE 7 - WIN'!D:D)</f>
        <v>40.5</v>
      </c>
      <c r="H23" s="8">
        <f t="shared" si="2"/>
        <v>0.1149425287356322</v>
      </c>
      <c r="I23" s="8">
        <f t="shared" si="3"/>
        <v>2.4691358024691357E-2</v>
      </c>
      <c r="J23" s="8">
        <f t="shared" si="4"/>
        <v>0.88505747126436785</v>
      </c>
      <c r="K23" s="10">
        <f t="shared" si="5"/>
        <v>3.2066698733365403E-3</v>
      </c>
      <c r="L23" s="16">
        <f t="shared" si="6"/>
        <v>311.84999999999997</v>
      </c>
      <c r="M23" s="17">
        <f t="shared" si="7"/>
        <v>-0.28266794933461592</v>
      </c>
    </row>
    <row r="24" spans="1:13">
      <c r="A24" s="5">
        <v>6</v>
      </c>
      <c r="B24" s="5">
        <v>8</v>
      </c>
      <c r="C24" s="8">
        <v>585.4</v>
      </c>
      <c r="D24" s="11">
        <f t="shared" si="1"/>
        <v>1.7082336863682953E-3</v>
      </c>
      <c r="E24" s="8">
        <f t="shared" si="0"/>
        <v>9.8999266990825028</v>
      </c>
      <c r="F24" s="8">
        <f>_xlfn.XLOOKUP(A24,'AYR RACE 7 - WIN'!B:B,'AYR RACE 7 - WIN'!D:D)</f>
        <v>48.1</v>
      </c>
      <c r="G24" s="8">
        <f>_xlfn.XLOOKUP(B24,'AYR RACE 7 - WIN'!B:B,'AYR RACE 7 - WIN'!D:D)</f>
        <v>40.5</v>
      </c>
      <c r="H24" s="8">
        <f t="shared" si="2"/>
        <v>2.0790020790020788E-2</v>
      </c>
      <c r="I24" s="8">
        <f t="shared" si="3"/>
        <v>2.4691358024691357E-2</v>
      </c>
      <c r="J24" s="8">
        <f t="shared" si="4"/>
        <v>0.97920997920997921</v>
      </c>
      <c r="K24" s="10">
        <f t="shared" si="5"/>
        <v>5.2423265445204574E-4</v>
      </c>
      <c r="L24" s="16">
        <f t="shared" si="6"/>
        <v>1907.5500000000002</v>
      </c>
      <c r="M24" s="17">
        <f t="shared" si="7"/>
        <v>-0.69311420408377244</v>
      </c>
    </row>
    <row r="25" spans="1:13">
      <c r="A25" s="5">
        <v>6</v>
      </c>
      <c r="B25" s="5">
        <v>10</v>
      </c>
      <c r="C25" s="8">
        <v>425.6</v>
      </c>
      <c r="D25" s="11">
        <f t="shared" si="1"/>
        <v>2.3496240601503758E-3</v>
      </c>
      <c r="E25" s="8">
        <f t="shared" si="0"/>
        <v>13.617051432431619</v>
      </c>
      <c r="F25" s="8">
        <f>_xlfn.XLOOKUP(A25,'AYR RACE 7 - WIN'!B:B,'AYR RACE 7 - WIN'!D:D)</f>
        <v>48.1</v>
      </c>
      <c r="G25" s="8">
        <f>_xlfn.XLOOKUP(B25,'AYR RACE 7 - WIN'!B:B,'AYR RACE 7 - WIN'!D:D)</f>
        <v>17.5</v>
      </c>
      <c r="H25" s="8">
        <f t="shared" si="2"/>
        <v>2.0790020790020788E-2</v>
      </c>
      <c r="I25" s="8">
        <f t="shared" si="3"/>
        <v>5.7142857142857141E-2</v>
      </c>
      <c r="J25" s="8">
        <f t="shared" si="4"/>
        <v>0.97920997920997921</v>
      </c>
      <c r="K25" s="10">
        <f t="shared" si="5"/>
        <v>1.2132241431604487E-3</v>
      </c>
      <c r="L25" s="16">
        <f t="shared" si="6"/>
        <v>824.25000000000011</v>
      </c>
      <c r="M25" s="17">
        <f t="shared" si="7"/>
        <v>-0.48365180467091295</v>
      </c>
    </row>
    <row r="26" spans="1:13">
      <c r="A26" s="5">
        <v>8</v>
      </c>
      <c r="B26" s="5">
        <v>3</v>
      </c>
      <c r="C26" s="8">
        <v>379</v>
      </c>
      <c r="D26" s="11">
        <f t="shared" si="1"/>
        <v>2.6385224274406332E-3</v>
      </c>
      <c r="E26" s="8">
        <f t="shared" si="0"/>
        <v>15.291337967395506</v>
      </c>
      <c r="F26" s="8">
        <f>_xlfn.XLOOKUP(A26,'AYR RACE 7 - WIN'!B:B,'AYR RACE 7 - WIN'!D:D)</f>
        <v>40.5</v>
      </c>
      <c r="G26" s="8">
        <f>_xlfn.XLOOKUP(B26,'AYR RACE 7 - WIN'!B:B,'AYR RACE 7 - WIN'!D:D)</f>
        <v>8.6999999999999993</v>
      </c>
      <c r="H26" s="8">
        <f t="shared" si="2"/>
        <v>2.4691358024691357E-2</v>
      </c>
      <c r="I26" s="8">
        <f t="shared" si="3"/>
        <v>0.1149425287356322</v>
      </c>
      <c r="J26" s="8">
        <f t="shared" si="4"/>
        <v>0.97530864197530864</v>
      </c>
      <c r="K26" s="10">
        <f t="shared" si="5"/>
        <v>2.9099374363451189E-3</v>
      </c>
      <c r="L26" s="16">
        <f t="shared" si="6"/>
        <v>343.65</v>
      </c>
      <c r="M26" s="17">
        <f t="shared" si="7"/>
        <v>0.10286628837479994</v>
      </c>
    </row>
    <row r="27" spans="1:13">
      <c r="A27" s="5">
        <v>8</v>
      </c>
      <c r="B27" s="5">
        <v>6</v>
      </c>
      <c r="C27" s="8">
        <v>847.1</v>
      </c>
      <c r="D27" s="11">
        <f t="shared" si="1"/>
        <v>1.180498170227836E-3</v>
      </c>
      <c r="E27" s="8">
        <f t="shared" si="0"/>
        <v>6.8414792700305718</v>
      </c>
      <c r="F27" s="8">
        <f>_xlfn.XLOOKUP(A27,'AYR RACE 7 - WIN'!B:B,'AYR RACE 7 - WIN'!D:D)</f>
        <v>40.5</v>
      </c>
      <c r="G27" s="8">
        <f>_xlfn.XLOOKUP(B27,'AYR RACE 7 - WIN'!B:B,'AYR RACE 7 - WIN'!D:D)</f>
        <v>48.1</v>
      </c>
      <c r="H27" s="8">
        <f t="shared" si="2"/>
        <v>2.4691358024691357E-2</v>
      </c>
      <c r="I27" s="8">
        <f t="shared" si="3"/>
        <v>2.0790020790020788E-2</v>
      </c>
      <c r="J27" s="8">
        <f t="shared" si="4"/>
        <v>0.97530864197530864</v>
      </c>
      <c r="K27" s="10">
        <f t="shared" si="5"/>
        <v>5.2632964025369074E-4</v>
      </c>
      <c r="L27" s="16">
        <f t="shared" si="6"/>
        <v>1899.9500000000005</v>
      </c>
      <c r="M27" s="17">
        <f t="shared" si="7"/>
        <v>-0.55414616174109854</v>
      </c>
    </row>
    <row r="28" spans="1:13">
      <c r="A28" s="5">
        <v>10</v>
      </c>
      <c r="B28" s="5">
        <v>2</v>
      </c>
      <c r="C28" s="8">
        <v>49.2</v>
      </c>
      <c r="D28" s="11">
        <f t="shared" si="1"/>
        <v>2.032520325203252E-2</v>
      </c>
      <c r="E28" s="8">
        <f t="shared" si="0"/>
        <v>117.79303027729466</v>
      </c>
      <c r="F28" s="8">
        <f>_xlfn.XLOOKUP(A28,'AYR RACE 7 - WIN'!B:B,'AYR RACE 7 - WIN'!D:D)</f>
        <v>17.5</v>
      </c>
      <c r="G28" s="8">
        <f>_xlfn.XLOOKUP(B28,'AYR RACE 7 - WIN'!B:B,'AYR RACE 7 - WIN'!D:D)</f>
        <v>3.6</v>
      </c>
      <c r="H28" s="8">
        <f t="shared" si="2"/>
        <v>5.7142857142857141E-2</v>
      </c>
      <c r="I28" s="8">
        <f t="shared" si="3"/>
        <v>0.27777777777777779</v>
      </c>
      <c r="J28" s="8">
        <f t="shared" si="4"/>
        <v>0.94285714285714284</v>
      </c>
      <c r="K28" s="10">
        <f t="shared" si="5"/>
        <v>1.6835016835016835E-2</v>
      </c>
      <c r="L28" s="16">
        <f t="shared" si="6"/>
        <v>59.4</v>
      </c>
      <c r="M28" s="17">
        <f t="shared" si="7"/>
        <v>-0.1717171717171716</v>
      </c>
    </row>
    <row r="29" spans="1:13">
      <c r="A29" s="5">
        <v>10</v>
      </c>
      <c r="B29" s="5">
        <v>6</v>
      </c>
      <c r="C29" s="8">
        <v>250.2</v>
      </c>
      <c r="D29" s="11">
        <f t="shared" si="1"/>
        <v>3.9968025579536371E-3</v>
      </c>
      <c r="E29" s="8">
        <f t="shared" si="0"/>
        <v>23.163137848292955</v>
      </c>
      <c r="F29" s="8">
        <f>_xlfn.XLOOKUP(A29,'AYR RACE 7 - WIN'!B:B,'AYR RACE 7 - WIN'!D:D)</f>
        <v>17.5</v>
      </c>
      <c r="G29" s="8">
        <f>_xlfn.XLOOKUP(B29,'AYR RACE 7 - WIN'!B:B,'AYR RACE 7 - WIN'!D:D)</f>
        <v>48.1</v>
      </c>
      <c r="H29" s="8">
        <f t="shared" si="2"/>
        <v>5.7142857142857141E-2</v>
      </c>
      <c r="I29" s="8">
        <f t="shared" si="3"/>
        <v>2.0790020790020788E-2</v>
      </c>
      <c r="J29" s="8">
        <f t="shared" si="4"/>
        <v>0.94285714285714284</v>
      </c>
      <c r="K29" s="10">
        <f t="shared" si="5"/>
        <v>1.2600012600012598E-3</v>
      </c>
      <c r="L29" s="16">
        <f t="shared" si="6"/>
        <v>793.65000000000009</v>
      </c>
      <c r="M29" s="17">
        <f t="shared" si="7"/>
        <v>-0.68474768474768477</v>
      </c>
    </row>
    <row r="30" spans="1:13">
      <c r="A30" s="5">
        <v>2</v>
      </c>
      <c r="B30" s="5">
        <v>4</v>
      </c>
      <c r="C30" s="8">
        <v>10.7</v>
      </c>
      <c r="D30" s="11">
        <f t="shared" si="1"/>
        <v>9.3457943925233655E-2</v>
      </c>
      <c r="E30" s="8">
        <f t="shared" si="0"/>
        <v>541.62776538718674</v>
      </c>
      <c r="F30" s="8">
        <f>_xlfn.XLOOKUP(A30,'AYR RACE 7 - WIN'!B:B,'AYR RACE 7 - WIN'!D:D)</f>
        <v>3.6</v>
      </c>
      <c r="G30" s="8">
        <f>_xlfn.XLOOKUP(B30,'AYR RACE 7 - WIN'!B:B,'AYR RACE 7 - WIN'!D:D)</f>
        <v>2.4</v>
      </c>
      <c r="H30" s="8">
        <f t="shared" si="2"/>
        <v>0.27777777777777779</v>
      </c>
      <c r="I30" s="8">
        <f t="shared" si="3"/>
        <v>0.41666666666666669</v>
      </c>
      <c r="J30" s="8">
        <f t="shared" si="4"/>
        <v>0.72222222222222221</v>
      </c>
      <c r="K30" s="10">
        <f t="shared" si="5"/>
        <v>0.16025641025641027</v>
      </c>
      <c r="L30" s="16">
        <f t="shared" si="6"/>
        <v>6.2399999999999993</v>
      </c>
      <c r="M30" s="17">
        <f t="shared" si="7"/>
        <v>0.71474358974358987</v>
      </c>
    </row>
    <row r="31" spans="1:13">
      <c r="A31" s="5">
        <v>3</v>
      </c>
      <c r="B31" s="5">
        <v>4</v>
      </c>
      <c r="C31" s="8">
        <v>28.3</v>
      </c>
      <c r="D31" s="11">
        <f t="shared" si="1"/>
        <v>3.5335689045936397E-2</v>
      </c>
      <c r="E31" s="8">
        <f t="shared" si="0"/>
        <v>204.78505617112708</v>
      </c>
      <c r="F31" s="8">
        <f>_xlfn.XLOOKUP(A31,'AYR RACE 7 - WIN'!B:B,'AYR RACE 7 - WIN'!D:D)</f>
        <v>8.6999999999999993</v>
      </c>
      <c r="G31" s="8">
        <f>_xlfn.XLOOKUP(B31,'AYR RACE 7 - WIN'!B:B,'AYR RACE 7 - WIN'!D:D)</f>
        <v>2.4</v>
      </c>
      <c r="H31" s="8">
        <f t="shared" si="2"/>
        <v>0.1149425287356322</v>
      </c>
      <c r="I31" s="8">
        <f t="shared" si="3"/>
        <v>0.41666666666666669</v>
      </c>
      <c r="J31" s="8">
        <f t="shared" si="4"/>
        <v>0.88505747126436785</v>
      </c>
      <c r="K31" s="10">
        <f t="shared" si="5"/>
        <v>5.4112554112554119E-2</v>
      </c>
      <c r="L31" s="16">
        <f t="shared" si="6"/>
        <v>18.479999999999997</v>
      </c>
      <c r="M31" s="17">
        <f t="shared" si="7"/>
        <v>0.53138528138528174</v>
      </c>
    </row>
    <row r="32" spans="1:13">
      <c r="A32" s="5">
        <v>3</v>
      </c>
      <c r="B32" s="5">
        <v>7</v>
      </c>
      <c r="C32" s="8">
        <v>38.700000000000003</v>
      </c>
      <c r="D32" s="11">
        <f t="shared" si="1"/>
        <v>2.5839793281653745E-2</v>
      </c>
      <c r="E32" s="8">
        <f t="shared" si="0"/>
        <v>149.75237957733583</v>
      </c>
      <c r="F32" s="8">
        <f>_xlfn.XLOOKUP(A32,'AYR RACE 7 - WIN'!B:B,'AYR RACE 7 - WIN'!D:D)</f>
        <v>8.6999999999999993</v>
      </c>
      <c r="G32" s="8">
        <f>_xlfn.XLOOKUP(B32,'AYR RACE 7 - WIN'!B:B,'AYR RACE 7 - WIN'!D:D)</f>
        <v>4.2</v>
      </c>
      <c r="H32" s="8">
        <f t="shared" si="2"/>
        <v>0.1149425287356322</v>
      </c>
      <c r="I32" s="8">
        <f t="shared" si="3"/>
        <v>0.23809523809523808</v>
      </c>
      <c r="J32" s="8">
        <f t="shared" si="4"/>
        <v>0.88505747126436785</v>
      </c>
      <c r="K32" s="10">
        <f t="shared" si="5"/>
        <v>3.0921459492888066E-2</v>
      </c>
      <c r="L32" s="16">
        <f t="shared" si="6"/>
        <v>32.339999999999996</v>
      </c>
      <c r="M32" s="17">
        <f t="shared" si="7"/>
        <v>0.19666048237476841</v>
      </c>
    </row>
    <row r="33" spans="1:13">
      <c r="A33" s="5">
        <v>4</v>
      </c>
      <c r="B33" s="5">
        <v>2</v>
      </c>
      <c r="C33" s="8">
        <v>8.1999999999999993</v>
      </c>
      <c r="D33" s="11">
        <f t="shared" si="1"/>
        <v>0.12195121951219513</v>
      </c>
      <c r="E33" s="8">
        <f t="shared" si="0"/>
        <v>706.75818166376803</v>
      </c>
      <c r="F33" s="8">
        <f>_xlfn.XLOOKUP(A33,'AYR RACE 7 - WIN'!B:B,'AYR RACE 7 - WIN'!D:D)</f>
        <v>2.4</v>
      </c>
      <c r="G33" s="8">
        <f>_xlfn.XLOOKUP(B33,'AYR RACE 7 - WIN'!B:B,'AYR RACE 7 - WIN'!D:D)</f>
        <v>3.6</v>
      </c>
      <c r="H33" s="8">
        <f t="shared" si="2"/>
        <v>0.41666666666666669</v>
      </c>
      <c r="I33" s="8">
        <f t="shared" si="3"/>
        <v>0.27777777777777779</v>
      </c>
      <c r="J33" s="8">
        <f t="shared" si="4"/>
        <v>0.58333333333333326</v>
      </c>
      <c r="K33" s="10">
        <f t="shared" si="5"/>
        <v>0.19841269841269846</v>
      </c>
      <c r="L33" s="16">
        <f t="shared" si="6"/>
        <v>5.0399999999999991</v>
      </c>
      <c r="M33" s="17">
        <f t="shared" si="7"/>
        <v>0.6269841269841272</v>
      </c>
    </row>
    <row r="34" spans="1:13">
      <c r="A34" s="5">
        <v>4</v>
      </c>
      <c r="B34" s="5">
        <v>3</v>
      </c>
      <c r="C34" s="8">
        <v>15.6</v>
      </c>
      <c r="D34" s="11">
        <f t="shared" si="1"/>
        <v>6.4102564102564111E-2</v>
      </c>
      <c r="E34" s="8">
        <f t="shared" ref="E34:E65" si="8">IF(F34=0,0,($Q$2/(C34*$O$2)))</f>
        <v>371.50109548992936</v>
      </c>
      <c r="F34" s="8">
        <f>_xlfn.XLOOKUP(A34,'AYR RACE 7 - WIN'!B:B,'AYR RACE 7 - WIN'!D:D)</f>
        <v>2.4</v>
      </c>
      <c r="G34" s="8">
        <f>_xlfn.XLOOKUP(B34,'AYR RACE 7 - WIN'!B:B,'AYR RACE 7 - WIN'!D:D)</f>
        <v>8.6999999999999993</v>
      </c>
      <c r="H34" s="8">
        <f t="shared" si="2"/>
        <v>0.41666666666666669</v>
      </c>
      <c r="I34" s="8">
        <f t="shared" si="3"/>
        <v>0.1149425287356322</v>
      </c>
      <c r="J34" s="8">
        <f t="shared" si="4"/>
        <v>0.58333333333333326</v>
      </c>
      <c r="K34" s="10">
        <f t="shared" si="5"/>
        <v>8.2101806239737299E-2</v>
      </c>
      <c r="L34" s="16">
        <f t="shared" si="6"/>
        <v>12.179999999999996</v>
      </c>
      <c r="M34" s="17">
        <f t="shared" si="7"/>
        <v>0.28078817733990191</v>
      </c>
    </row>
    <row r="35" spans="1:13">
      <c r="A35" s="5">
        <v>7</v>
      </c>
      <c r="B35" s="5">
        <v>3</v>
      </c>
      <c r="C35" s="8">
        <v>26.9</v>
      </c>
      <c r="D35" s="11">
        <f t="shared" si="1"/>
        <v>3.717472118959108E-2</v>
      </c>
      <c r="E35" s="8">
        <f t="shared" si="8"/>
        <v>215.44301448486607</v>
      </c>
      <c r="F35" s="8">
        <f>_xlfn.XLOOKUP(A35,'AYR RACE 7 - WIN'!B:B,'AYR RACE 7 - WIN'!D:D)</f>
        <v>4.2</v>
      </c>
      <c r="G35" s="8">
        <f>_xlfn.XLOOKUP(B35,'AYR RACE 7 - WIN'!B:B,'AYR RACE 7 - WIN'!D:D)</f>
        <v>8.6999999999999993</v>
      </c>
      <c r="H35" s="8">
        <f t="shared" si="2"/>
        <v>0.23809523809523808</v>
      </c>
      <c r="I35" s="8">
        <f t="shared" si="3"/>
        <v>0.1149425287356322</v>
      </c>
      <c r="J35" s="8">
        <f t="shared" si="4"/>
        <v>0.76190476190476186</v>
      </c>
      <c r="K35" s="10">
        <f t="shared" si="5"/>
        <v>3.5919540229885062E-2</v>
      </c>
      <c r="L35" s="16">
        <f t="shared" si="6"/>
        <v>27.839999999999996</v>
      </c>
      <c r="M35" s="17">
        <f t="shared" si="7"/>
        <v>-3.3764367816091823E-2</v>
      </c>
    </row>
    <row r="36" spans="1:13">
      <c r="A36" s="5">
        <v>7</v>
      </c>
      <c r="B36" s="5">
        <v>4</v>
      </c>
      <c r="C36" s="8">
        <v>13.9</v>
      </c>
      <c r="D36" s="11">
        <f t="shared" si="1"/>
        <v>7.1942446043165464E-2</v>
      </c>
      <c r="E36" s="8">
        <f t="shared" si="8"/>
        <v>416.93648126927314</v>
      </c>
      <c r="F36" s="8">
        <f>_xlfn.XLOOKUP(A36,'AYR RACE 7 - WIN'!B:B,'AYR RACE 7 - WIN'!D:D)</f>
        <v>4.2</v>
      </c>
      <c r="G36" s="8">
        <f>_xlfn.XLOOKUP(B36,'AYR RACE 7 - WIN'!B:B,'AYR RACE 7 - WIN'!D:D)</f>
        <v>2.4</v>
      </c>
      <c r="H36" s="8">
        <f t="shared" si="2"/>
        <v>0.23809523809523808</v>
      </c>
      <c r="I36" s="8">
        <f t="shared" si="3"/>
        <v>0.41666666666666669</v>
      </c>
      <c r="J36" s="8">
        <f t="shared" si="4"/>
        <v>0.76190476190476186</v>
      </c>
      <c r="K36" s="10">
        <f t="shared" si="5"/>
        <v>0.13020833333333334</v>
      </c>
      <c r="L36" s="16">
        <f t="shared" si="6"/>
        <v>7.68</v>
      </c>
      <c r="M36" s="17">
        <f t="shared" si="7"/>
        <v>0.80989583333333348</v>
      </c>
    </row>
    <row r="37" spans="1:13">
      <c r="A37" s="5">
        <v>1</v>
      </c>
      <c r="B37" s="5">
        <v>2</v>
      </c>
      <c r="C37" s="8">
        <v>352.1</v>
      </c>
      <c r="D37" s="11">
        <f t="shared" si="1"/>
        <v>2.8401022436807723E-3</v>
      </c>
      <c r="E37" s="8">
        <f t="shared" si="8"/>
        <v>0</v>
      </c>
      <c r="F37" s="8">
        <f>_xlfn.XLOOKUP(A37,'AYR RACE 7 - WIN'!B:B,'AYR RACE 7 - WIN'!D:D)</f>
        <v>0</v>
      </c>
      <c r="G37" s="8">
        <f>_xlfn.XLOOKUP(B37,'AYR RACE 7 - WIN'!B:B,'AYR RACE 7 - WIN'!D:D)</f>
        <v>3.6</v>
      </c>
      <c r="H37" s="8">
        <f t="shared" si="2"/>
        <v>0</v>
      </c>
      <c r="I37" s="8">
        <f t="shared" si="3"/>
        <v>0.27777777777777779</v>
      </c>
      <c r="J37" s="8">
        <f t="shared" si="4"/>
        <v>1</v>
      </c>
      <c r="K37" s="10">
        <f t="shared" si="5"/>
        <v>0</v>
      </c>
      <c r="L37" s="16">
        <f t="shared" si="6"/>
        <v>0</v>
      </c>
      <c r="M37" s="17">
        <f t="shared" si="7"/>
        <v>0</v>
      </c>
    </row>
    <row r="38" spans="1:13">
      <c r="A38" s="5">
        <v>1</v>
      </c>
      <c r="B38" s="5">
        <v>3</v>
      </c>
      <c r="C38" s="8">
        <v>352.1</v>
      </c>
      <c r="D38" s="11">
        <f t="shared" si="1"/>
        <v>2.8401022436807723E-3</v>
      </c>
      <c r="E38" s="8">
        <f t="shared" si="8"/>
        <v>0</v>
      </c>
      <c r="F38" s="8">
        <f>_xlfn.XLOOKUP(A38,'AYR RACE 7 - WIN'!B:B,'AYR RACE 7 - WIN'!D:D)</f>
        <v>0</v>
      </c>
      <c r="G38" s="8">
        <f>_xlfn.XLOOKUP(B38,'AYR RACE 7 - WIN'!B:B,'AYR RACE 7 - WIN'!D:D)</f>
        <v>8.6999999999999993</v>
      </c>
      <c r="H38" s="8">
        <f t="shared" si="2"/>
        <v>0</v>
      </c>
      <c r="I38" s="8">
        <f t="shared" si="3"/>
        <v>0.1149425287356322</v>
      </c>
      <c r="J38" s="8">
        <f t="shared" si="4"/>
        <v>1</v>
      </c>
      <c r="K38" s="10">
        <f t="shared" si="5"/>
        <v>0</v>
      </c>
      <c r="L38" s="16">
        <f t="shared" si="6"/>
        <v>0</v>
      </c>
      <c r="M38" s="17">
        <f t="shared" si="7"/>
        <v>0</v>
      </c>
    </row>
    <row r="39" spans="1:13">
      <c r="A39" s="5">
        <v>2</v>
      </c>
      <c r="B39" s="5">
        <v>1</v>
      </c>
      <c r="C39" s="8">
        <v>352.1</v>
      </c>
      <c r="D39" s="11">
        <f t="shared" si="1"/>
        <v>2.8401022436807723E-3</v>
      </c>
      <c r="E39" s="8">
        <f t="shared" si="8"/>
        <v>16.459577079360685</v>
      </c>
      <c r="F39" s="8">
        <f>_xlfn.XLOOKUP(A39,'AYR RACE 7 - WIN'!B:B,'AYR RACE 7 - WIN'!D:D)</f>
        <v>3.6</v>
      </c>
      <c r="G39" s="8">
        <f>_xlfn.XLOOKUP(B39,'AYR RACE 7 - WIN'!B:B,'AYR RACE 7 - WIN'!D:D)</f>
        <v>0</v>
      </c>
      <c r="H39" s="8">
        <f t="shared" si="2"/>
        <v>0.27777777777777779</v>
      </c>
      <c r="I39" s="8">
        <f t="shared" si="3"/>
        <v>0</v>
      </c>
      <c r="J39" s="8">
        <f t="shared" si="4"/>
        <v>0.72222222222222221</v>
      </c>
      <c r="K39" s="10">
        <f t="shared" si="5"/>
        <v>0</v>
      </c>
      <c r="L39" s="16">
        <f t="shared" si="6"/>
        <v>0</v>
      </c>
      <c r="M39" s="17">
        <f t="shared" si="7"/>
        <v>0</v>
      </c>
    </row>
    <row r="40" spans="1:13">
      <c r="A40" s="5">
        <v>3</v>
      </c>
      <c r="B40" s="5">
        <v>1</v>
      </c>
      <c r="C40" s="8">
        <v>352.1</v>
      </c>
      <c r="D40" s="11">
        <f t="shared" si="1"/>
        <v>2.8401022436807723E-3</v>
      </c>
      <c r="E40" s="8">
        <f t="shared" si="8"/>
        <v>16.459577079360685</v>
      </c>
      <c r="F40" s="8">
        <f>_xlfn.XLOOKUP(A40,'AYR RACE 7 - WIN'!B:B,'AYR RACE 7 - WIN'!D:D)</f>
        <v>8.6999999999999993</v>
      </c>
      <c r="G40" s="8">
        <f>_xlfn.XLOOKUP(B40,'AYR RACE 7 - WIN'!B:B,'AYR RACE 7 - WIN'!D:D)</f>
        <v>0</v>
      </c>
      <c r="H40" s="8">
        <f t="shared" si="2"/>
        <v>0.1149425287356322</v>
      </c>
      <c r="I40" s="8">
        <f t="shared" si="3"/>
        <v>0</v>
      </c>
      <c r="J40" s="8">
        <f t="shared" si="4"/>
        <v>0.88505747126436785</v>
      </c>
      <c r="K40" s="10">
        <f t="shared" si="5"/>
        <v>0</v>
      </c>
      <c r="L40" s="16">
        <f t="shared" si="6"/>
        <v>0</v>
      </c>
      <c r="M40" s="17">
        <f t="shared" si="7"/>
        <v>0</v>
      </c>
    </row>
    <row r="41" spans="1:13">
      <c r="A41" s="5">
        <v>4</v>
      </c>
      <c r="B41" s="5">
        <v>6</v>
      </c>
      <c r="C41" s="8">
        <v>75.400000000000006</v>
      </c>
      <c r="D41" s="11">
        <f t="shared" si="1"/>
        <v>1.326259946949602E-2</v>
      </c>
      <c r="E41" s="8">
        <f t="shared" si="8"/>
        <v>76.862295618606055</v>
      </c>
      <c r="F41" s="8">
        <f>_xlfn.XLOOKUP(A41,'AYR RACE 7 - WIN'!B:B,'AYR RACE 7 - WIN'!D:D)</f>
        <v>2.4</v>
      </c>
      <c r="G41" s="8">
        <f>_xlfn.XLOOKUP(B41,'AYR RACE 7 - WIN'!B:B,'AYR RACE 7 - WIN'!D:D)</f>
        <v>48.1</v>
      </c>
      <c r="H41" s="8">
        <f t="shared" si="2"/>
        <v>0.41666666666666669</v>
      </c>
      <c r="I41" s="8">
        <f t="shared" si="3"/>
        <v>2.0790020790020788E-2</v>
      </c>
      <c r="J41" s="8">
        <f t="shared" si="4"/>
        <v>0.58333333333333326</v>
      </c>
      <c r="K41" s="10">
        <f t="shared" si="5"/>
        <v>1.485001485001485E-2</v>
      </c>
      <c r="L41" s="16">
        <f t="shared" si="6"/>
        <v>67.34</v>
      </c>
      <c r="M41" s="17">
        <f t="shared" si="7"/>
        <v>0.11969111969111967</v>
      </c>
    </row>
    <row r="42" spans="1:13">
      <c r="A42" s="5">
        <v>4</v>
      </c>
      <c r="B42" s="5">
        <v>8</v>
      </c>
      <c r="C42" s="8">
        <v>79.2</v>
      </c>
      <c r="D42" s="11">
        <f t="shared" si="1"/>
        <v>1.2626262626262626E-2</v>
      </c>
      <c r="E42" s="8">
        <f t="shared" si="8"/>
        <v>73.174458202561837</v>
      </c>
      <c r="F42" s="8">
        <f>_xlfn.XLOOKUP(A42,'AYR RACE 7 - WIN'!B:B,'AYR RACE 7 - WIN'!D:D)</f>
        <v>2.4</v>
      </c>
      <c r="G42" s="8">
        <f>_xlfn.XLOOKUP(B42,'AYR RACE 7 - WIN'!B:B,'AYR RACE 7 - WIN'!D:D)</f>
        <v>40.5</v>
      </c>
      <c r="H42" s="8">
        <f t="shared" si="2"/>
        <v>0.41666666666666669</v>
      </c>
      <c r="I42" s="8">
        <f t="shared" si="3"/>
        <v>2.4691358024691357E-2</v>
      </c>
      <c r="J42" s="8">
        <f t="shared" si="4"/>
        <v>0.58333333333333326</v>
      </c>
      <c r="K42" s="10">
        <f t="shared" si="5"/>
        <v>1.7636684303350973E-2</v>
      </c>
      <c r="L42" s="16">
        <f t="shared" si="6"/>
        <v>56.699999999999989</v>
      </c>
      <c r="M42" s="17">
        <f t="shared" si="7"/>
        <v>0.39682539682539719</v>
      </c>
    </row>
    <row r="43" spans="1:13">
      <c r="A43" s="5">
        <v>4</v>
      </c>
      <c r="B43" s="5">
        <v>10</v>
      </c>
      <c r="C43" s="8">
        <v>23.1</v>
      </c>
      <c r="D43" s="11">
        <f t="shared" si="1"/>
        <v>4.3290043290043288E-2</v>
      </c>
      <c r="E43" s="8">
        <f t="shared" si="8"/>
        <v>250.88385669449769</v>
      </c>
      <c r="F43" s="8">
        <f>_xlfn.XLOOKUP(A43,'AYR RACE 7 - WIN'!B:B,'AYR RACE 7 - WIN'!D:D)</f>
        <v>2.4</v>
      </c>
      <c r="G43" s="8">
        <f>_xlfn.XLOOKUP(B43,'AYR RACE 7 - WIN'!B:B,'AYR RACE 7 - WIN'!D:D)</f>
        <v>17.5</v>
      </c>
      <c r="H43" s="8">
        <f t="shared" si="2"/>
        <v>0.41666666666666669</v>
      </c>
      <c r="I43" s="8">
        <f t="shared" si="3"/>
        <v>5.7142857142857141E-2</v>
      </c>
      <c r="J43" s="8">
        <f t="shared" si="4"/>
        <v>0.58333333333333326</v>
      </c>
      <c r="K43" s="10">
        <f t="shared" si="5"/>
        <v>4.0816326530612249E-2</v>
      </c>
      <c r="L43" s="16">
        <f t="shared" si="6"/>
        <v>24.499999999999996</v>
      </c>
      <c r="M43" s="17">
        <f t="shared" si="7"/>
        <v>-5.714285714285694E-2</v>
      </c>
    </row>
    <row r="44" spans="1:13">
      <c r="A44" s="5">
        <v>4</v>
      </c>
      <c r="B44" s="5">
        <v>11</v>
      </c>
      <c r="C44" s="8">
        <v>34.9</v>
      </c>
      <c r="D44" s="11">
        <f t="shared" si="1"/>
        <v>2.865329512893983E-2</v>
      </c>
      <c r="E44" s="8">
        <f t="shared" si="8"/>
        <v>166.05779626483945</v>
      </c>
      <c r="F44" s="8">
        <f>_xlfn.XLOOKUP(A44,'AYR RACE 7 - WIN'!B:B,'AYR RACE 7 - WIN'!D:D)</f>
        <v>2.4</v>
      </c>
      <c r="G44" s="8">
        <f>_xlfn.XLOOKUP(B44,'AYR RACE 7 - WIN'!B:B,'AYR RACE 7 - WIN'!D:D)</f>
        <v>28.8</v>
      </c>
      <c r="H44" s="8">
        <f t="shared" si="2"/>
        <v>0.41666666666666669</v>
      </c>
      <c r="I44" s="8">
        <f t="shared" si="3"/>
        <v>3.4722222222222224E-2</v>
      </c>
      <c r="J44" s="8">
        <f t="shared" si="4"/>
        <v>0.58333333333333326</v>
      </c>
      <c r="K44" s="10">
        <f t="shared" si="5"/>
        <v>2.4801587301587307E-2</v>
      </c>
      <c r="L44" s="16">
        <f t="shared" si="6"/>
        <v>40.319999999999993</v>
      </c>
      <c r="M44" s="17">
        <f t="shared" si="7"/>
        <v>-0.13442460317460303</v>
      </c>
    </row>
    <row r="45" spans="1:13">
      <c r="A45" s="5">
        <v>6</v>
      </c>
      <c r="B45" s="5">
        <v>4</v>
      </c>
      <c r="C45" s="8">
        <v>164.5</v>
      </c>
      <c r="D45" s="11">
        <f t="shared" si="1"/>
        <v>6.0790273556231003E-3</v>
      </c>
      <c r="E45" s="8">
        <f t="shared" si="8"/>
        <v>35.230499025184784</v>
      </c>
      <c r="F45" s="8">
        <f>_xlfn.XLOOKUP(A45,'AYR RACE 7 - WIN'!B:B,'AYR RACE 7 - WIN'!D:D)</f>
        <v>48.1</v>
      </c>
      <c r="G45" s="8">
        <f>_xlfn.XLOOKUP(B45,'AYR RACE 7 - WIN'!B:B,'AYR RACE 7 - WIN'!D:D)</f>
        <v>2.4</v>
      </c>
      <c r="H45" s="8">
        <f t="shared" si="2"/>
        <v>2.0790020790020788E-2</v>
      </c>
      <c r="I45" s="8">
        <f t="shared" si="3"/>
        <v>0.41666666666666669</v>
      </c>
      <c r="J45" s="8">
        <f t="shared" si="4"/>
        <v>0.97920997920997921</v>
      </c>
      <c r="K45" s="10">
        <f t="shared" si="5"/>
        <v>8.8464260438782718E-3</v>
      </c>
      <c r="L45" s="16">
        <f t="shared" si="6"/>
        <v>113.04000000000002</v>
      </c>
      <c r="M45" s="17">
        <f t="shared" si="7"/>
        <v>0.4552370842179756</v>
      </c>
    </row>
    <row r="46" spans="1:13">
      <c r="A46" s="5">
        <v>6</v>
      </c>
      <c r="B46" s="5">
        <v>7</v>
      </c>
      <c r="C46" s="8">
        <v>204.9</v>
      </c>
      <c r="D46" s="11">
        <f t="shared" si="1"/>
        <v>4.880429477794046E-3</v>
      </c>
      <c r="E46" s="8">
        <f t="shared" si="8"/>
        <v>28.284124400404572</v>
      </c>
      <c r="F46" s="8">
        <f>_xlfn.XLOOKUP(A46,'AYR RACE 7 - WIN'!B:B,'AYR RACE 7 - WIN'!D:D)</f>
        <v>48.1</v>
      </c>
      <c r="G46" s="8">
        <f>_xlfn.XLOOKUP(B46,'AYR RACE 7 - WIN'!B:B,'AYR RACE 7 - WIN'!D:D)</f>
        <v>4.2</v>
      </c>
      <c r="H46" s="8">
        <f t="shared" si="2"/>
        <v>2.0790020790020788E-2</v>
      </c>
      <c r="I46" s="8">
        <f t="shared" si="3"/>
        <v>0.23809523809523808</v>
      </c>
      <c r="J46" s="8">
        <f t="shared" si="4"/>
        <v>0.97920997920997921</v>
      </c>
      <c r="K46" s="10">
        <f t="shared" si="5"/>
        <v>5.0551005965018695E-3</v>
      </c>
      <c r="L46" s="16">
        <f t="shared" si="6"/>
        <v>197.82000000000005</v>
      </c>
      <c r="M46" s="17">
        <f t="shared" si="7"/>
        <v>3.5790112223232917E-2</v>
      </c>
    </row>
    <row r="47" spans="1:13">
      <c r="A47" s="5">
        <v>7</v>
      </c>
      <c r="B47" s="5">
        <v>6</v>
      </c>
      <c r="C47" s="8">
        <v>137</v>
      </c>
      <c r="D47" s="11">
        <f t="shared" si="1"/>
        <v>7.2992700729927005E-3</v>
      </c>
      <c r="E47" s="8">
        <f t="shared" si="8"/>
        <v>42.302314522940854</v>
      </c>
      <c r="F47" s="8">
        <f>_xlfn.XLOOKUP(A47,'AYR RACE 7 - WIN'!B:B,'AYR RACE 7 - WIN'!D:D)</f>
        <v>4.2</v>
      </c>
      <c r="G47" s="8">
        <f>_xlfn.XLOOKUP(B47,'AYR RACE 7 - WIN'!B:B,'AYR RACE 7 - WIN'!D:D)</f>
        <v>48.1</v>
      </c>
      <c r="H47" s="8">
        <f t="shared" si="2"/>
        <v>0.23809523809523808</v>
      </c>
      <c r="I47" s="8">
        <f t="shared" si="3"/>
        <v>2.0790020790020788E-2</v>
      </c>
      <c r="J47" s="8">
        <f t="shared" si="4"/>
        <v>0.76190476190476186</v>
      </c>
      <c r="K47" s="10">
        <f t="shared" si="5"/>
        <v>6.4968814968814955E-3</v>
      </c>
      <c r="L47" s="16">
        <f t="shared" si="6"/>
        <v>153.92000000000004</v>
      </c>
      <c r="M47" s="17">
        <f t="shared" si="7"/>
        <v>-0.10992723492723522</v>
      </c>
    </row>
    <row r="48" spans="1:13">
      <c r="A48" s="5">
        <v>7</v>
      </c>
      <c r="B48" s="5">
        <v>10</v>
      </c>
      <c r="C48" s="8">
        <v>55.7</v>
      </c>
      <c r="D48" s="11">
        <f t="shared" si="1"/>
        <v>1.7953321364452424E-2</v>
      </c>
      <c r="E48" s="8">
        <f t="shared" si="8"/>
        <v>104.04698545139851</v>
      </c>
      <c r="F48" s="8">
        <f>_xlfn.XLOOKUP(A48,'AYR RACE 7 - WIN'!B:B,'AYR RACE 7 - WIN'!D:D)</f>
        <v>4.2</v>
      </c>
      <c r="G48" s="8">
        <f>_xlfn.XLOOKUP(B48,'AYR RACE 7 - WIN'!B:B,'AYR RACE 7 - WIN'!D:D)</f>
        <v>17.5</v>
      </c>
      <c r="H48" s="8">
        <f t="shared" si="2"/>
        <v>0.23809523809523808</v>
      </c>
      <c r="I48" s="8">
        <f t="shared" si="3"/>
        <v>5.7142857142857141E-2</v>
      </c>
      <c r="J48" s="8">
        <f t="shared" si="4"/>
        <v>0.76190476190476186</v>
      </c>
      <c r="K48" s="10">
        <f t="shared" si="5"/>
        <v>1.7857142857142856E-2</v>
      </c>
      <c r="L48" s="16">
        <f t="shared" si="6"/>
        <v>56</v>
      </c>
      <c r="M48" s="17">
        <f t="shared" si="7"/>
        <v>-5.3571428571428381E-3</v>
      </c>
    </row>
    <row r="49" spans="1:13">
      <c r="A49" s="5">
        <v>8</v>
      </c>
      <c r="B49" s="5">
        <v>4</v>
      </c>
      <c r="C49" s="8">
        <v>176</v>
      </c>
      <c r="D49" s="11">
        <f t="shared" si="1"/>
        <v>5.681818181818182E-3</v>
      </c>
      <c r="E49" s="8">
        <f t="shared" si="8"/>
        <v>32.928506191152827</v>
      </c>
      <c r="F49" s="8">
        <f>_xlfn.XLOOKUP(A49,'AYR RACE 7 - WIN'!B:B,'AYR RACE 7 - WIN'!D:D)</f>
        <v>40.5</v>
      </c>
      <c r="G49" s="8">
        <f>_xlfn.XLOOKUP(B49,'AYR RACE 7 - WIN'!B:B,'AYR RACE 7 - WIN'!D:D)</f>
        <v>2.4</v>
      </c>
      <c r="H49" s="8">
        <f t="shared" si="2"/>
        <v>2.4691358024691357E-2</v>
      </c>
      <c r="I49" s="8">
        <f t="shared" si="3"/>
        <v>0.41666666666666669</v>
      </c>
      <c r="J49" s="8">
        <f t="shared" si="4"/>
        <v>0.97530864197530864</v>
      </c>
      <c r="K49" s="10">
        <f t="shared" si="5"/>
        <v>1.0548523206751054E-2</v>
      </c>
      <c r="L49" s="16">
        <f t="shared" si="6"/>
        <v>94.8</v>
      </c>
      <c r="M49" s="17">
        <f t="shared" si="7"/>
        <v>0.85654008438818563</v>
      </c>
    </row>
    <row r="50" spans="1:13">
      <c r="A50" s="5">
        <v>10</v>
      </c>
      <c r="B50" s="5">
        <v>4</v>
      </c>
      <c r="C50" s="8">
        <v>46.2</v>
      </c>
      <c r="D50" s="11">
        <f t="shared" si="1"/>
        <v>2.1645021645021644E-2</v>
      </c>
      <c r="E50" s="8">
        <f t="shared" si="8"/>
        <v>125.44192834724885</v>
      </c>
      <c r="F50" s="8">
        <f>_xlfn.XLOOKUP(A50,'AYR RACE 7 - WIN'!B:B,'AYR RACE 7 - WIN'!D:D)</f>
        <v>17.5</v>
      </c>
      <c r="G50" s="8">
        <f>_xlfn.XLOOKUP(B50,'AYR RACE 7 - WIN'!B:B,'AYR RACE 7 - WIN'!D:D)</f>
        <v>2.4</v>
      </c>
      <c r="H50" s="8">
        <f t="shared" si="2"/>
        <v>5.7142857142857141E-2</v>
      </c>
      <c r="I50" s="8">
        <f t="shared" si="3"/>
        <v>0.41666666666666669</v>
      </c>
      <c r="J50" s="8">
        <f t="shared" si="4"/>
        <v>0.94285714285714284</v>
      </c>
      <c r="K50" s="10">
        <f t="shared" si="5"/>
        <v>2.5252525252525252E-2</v>
      </c>
      <c r="L50" s="16">
        <f t="shared" si="6"/>
        <v>39.6</v>
      </c>
      <c r="M50" s="17">
        <f t="shared" si="7"/>
        <v>0.16666666666666674</v>
      </c>
    </row>
    <row r="51" spans="1:13">
      <c r="A51" s="5">
        <v>10</v>
      </c>
      <c r="B51" s="5">
        <v>7</v>
      </c>
      <c r="C51" s="8">
        <v>79.599999999999994</v>
      </c>
      <c r="D51" s="11">
        <f t="shared" si="1"/>
        <v>1.2562814070351759E-2</v>
      </c>
      <c r="E51" s="8">
        <f t="shared" si="8"/>
        <v>72.806747357322834</v>
      </c>
      <c r="F51" s="8">
        <f>_xlfn.XLOOKUP(A51,'AYR RACE 7 - WIN'!B:B,'AYR RACE 7 - WIN'!D:D)</f>
        <v>17.5</v>
      </c>
      <c r="G51" s="8">
        <f>_xlfn.XLOOKUP(B51,'AYR RACE 7 - WIN'!B:B,'AYR RACE 7 - WIN'!D:D)</f>
        <v>4.2</v>
      </c>
      <c r="H51" s="8">
        <f t="shared" si="2"/>
        <v>5.7142857142857141E-2</v>
      </c>
      <c r="I51" s="8">
        <f t="shared" si="3"/>
        <v>0.23809523809523808</v>
      </c>
      <c r="J51" s="8">
        <f t="shared" si="4"/>
        <v>0.94285714285714284</v>
      </c>
      <c r="K51" s="10">
        <f t="shared" si="5"/>
        <v>1.443001443001443E-2</v>
      </c>
      <c r="L51" s="16">
        <f t="shared" si="6"/>
        <v>69.3</v>
      </c>
      <c r="M51" s="17">
        <f t="shared" si="7"/>
        <v>0.14862914862914867</v>
      </c>
    </row>
    <row r="52" spans="1:13">
      <c r="A52" s="5">
        <v>10</v>
      </c>
      <c r="B52" s="5">
        <v>8</v>
      </c>
      <c r="C52" s="8">
        <v>318.39999999999998</v>
      </c>
      <c r="D52" s="11">
        <f t="shared" si="1"/>
        <v>3.1407035175879399E-3</v>
      </c>
      <c r="E52" s="8">
        <f t="shared" si="8"/>
        <v>18.201686839330709</v>
      </c>
      <c r="F52" s="8">
        <f>_xlfn.XLOOKUP(A52,'AYR RACE 7 - WIN'!B:B,'AYR RACE 7 - WIN'!D:D)</f>
        <v>17.5</v>
      </c>
      <c r="G52" s="8">
        <f>_xlfn.XLOOKUP(B52,'AYR RACE 7 - WIN'!B:B,'AYR RACE 7 - WIN'!D:D)</f>
        <v>40.5</v>
      </c>
      <c r="H52" s="8">
        <f t="shared" si="2"/>
        <v>5.7142857142857141E-2</v>
      </c>
      <c r="I52" s="8">
        <f t="shared" si="3"/>
        <v>2.4691358024691357E-2</v>
      </c>
      <c r="J52" s="8">
        <f t="shared" si="4"/>
        <v>0.94285714285714284</v>
      </c>
      <c r="K52" s="10">
        <f t="shared" si="5"/>
        <v>1.4964459408903852E-3</v>
      </c>
      <c r="L52" s="16">
        <f t="shared" si="6"/>
        <v>668.25</v>
      </c>
      <c r="M52" s="17">
        <f t="shared" si="7"/>
        <v>-0.52353161242050139</v>
      </c>
    </row>
    <row r="53" spans="1:13">
      <c r="A53" s="5">
        <v>8</v>
      </c>
      <c r="B53" s="5">
        <v>9</v>
      </c>
      <c r="C53" s="8">
        <v>621.70000000000005</v>
      </c>
      <c r="D53" s="11">
        <f t="shared" si="1"/>
        <v>1.608492842206852E-3</v>
      </c>
      <c r="E53" s="8">
        <f t="shared" si="8"/>
        <v>9.3218869062938658</v>
      </c>
      <c r="F53" s="8">
        <f>_xlfn.XLOOKUP(A53,'AYR RACE 7 - WIN'!B:B,'AYR RACE 7 - WIN'!D:D)</f>
        <v>40.5</v>
      </c>
      <c r="G53" s="8">
        <f>_xlfn.XLOOKUP(B53,'AYR RACE 7 - WIN'!B:B,'AYR RACE 7 - WIN'!D:D)</f>
        <v>19.8</v>
      </c>
      <c r="H53" s="8">
        <f t="shared" si="2"/>
        <v>2.4691358024691357E-2</v>
      </c>
      <c r="I53" s="8">
        <f t="shared" si="3"/>
        <v>5.0505050505050504E-2</v>
      </c>
      <c r="J53" s="8">
        <f t="shared" si="4"/>
        <v>0.97530864197530864</v>
      </c>
      <c r="K53" s="10">
        <f t="shared" si="5"/>
        <v>1.2786088735455823E-3</v>
      </c>
      <c r="L53" s="16">
        <f t="shared" si="6"/>
        <v>782.1</v>
      </c>
      <c r="M53" s="17">
        <f t="shared" si="7"/>
        <v>-0.20508886331671139</v>
      </c>
    </row>
    <row r="54" spans="1:13">
      <c r="A54" s="5">
        <v>9</v>
      </c>
      <c r="B54" s="5">
        <v>8</v>
      </c>
      <c r="C54" s="8">
        <v>436.3</v>
      </c>
      <c r="D54" s="11">
        <f t="shared" si="1"/>
        <v>2.2920009168003667E-3</v>
      </c>
      <c r="E54" s="8">
        <f t="shared" si="8"/>
        <v>13.283101282702033</v>
      </c>
      <c r="F54" s="8">
        <f>_xlfn.XLOOKUP(A54,'AYR RACE 7 - WIN'!B:B,'AYR RACE 7 - WIN'!D:D)</f>
        <v>19.8</v>
      </c>
      <c r="G54" s="8">
        <f>_xlfn.XLOOKUP(B54,'AYR RACE 7 - WIN'!B:B,'AYR RACE 7 - WIN'!D:D)</f>
        <v>40.5</v>
      </c>
      <c r="H54" s="8">
        <f t="shared" si="2"/>
        <v>5.0505050505050504E-2</v>
      </c>
      <c r="I54" s="8">
        <f t="shared" si="3"/>
        <v>2.4691358024691357E-2</v>
      </c>
      <c r="J54" s="8">
        <f t="shared" si="4"/>
        <v>0.9494949494949495</v>
      </c>
      <c r="K54" s="10">
        <f t="shared" si="5"/>
        <v>1.3133701076963487E-3</v>
      </c>
      <c r="L54" s="16">
        <f t="shared" si="6"/>
        <v>761.40000000000009</v>
      </c>
      <c r="M54" s="17">
        <f t="shared" si="7"/>
        <v>-0.42697662201208308</v>
      </c>
    </row>
    <row r="55" spans="1:13">
      <c r="A55" s="5">
        <v>9</v>
      </c>
      <c r="B55" s="5">
        <v>10</v>
      </c>
      <c r="C55" s="8">
        <v>183.9</v>
      </c>
      <c r="D55" s="11">
        <f t="shared" si="1"/>
        <v>5.4377379010331697E-3</v>
      </c>
      <c r="E55" s="8">
        <f t="shared" si="8"/>
        <v>31.513959160646529</v>
      </c>
      <c r="F55" s="8">
        <f>_xlfn.XLOOKUP(A55,'AYR RACE 7 - WIN'!B:B,'AYR RACE 7 - WIN'!D:D)</f>
        <v>19.8</v>
      </c>
      <c r="G55" s="8">
        <f>_xlfn.XLOOKUP(B55,'AYR RACE 7 - WIN'!B:B,'AYR RACE 7 - WIN'!D:D)</f>
        <v>17.5</v>
      </c>
      <c r="H55" s="8">
        <f t="shared" si="2"/>
        <v>5.0505050505050504E-2</v>
      </c>
      <c r="I55" s="8">
        <f t="shared" si="3"/>
        <v>5.7142857142857141E-2</v>
      </c>
      <c r="J55" s="8">
        <f t="shared" si="4"/>
        <v>0.9494949494949495</v>
      </c>
      <c r="K55" s="10">
        <f t="shared" si="5"/>
        <v>3.0395136778115501E-3</v>
      </c>
      <c r="L55" s="16">
        <f t="shared" si="6"/>
        <v>329</v>
      </c>
      <c r="M55" s="17">
        <f t="shared" si="7"/>
        <v>-0.44103343465045586</v>
      </c>
    </row>
    <row r="56" spans="1:13">
      <c r="A56" s="5">
        <v>10</v>
      </c>
      <c r="B56" s="5">
        <v>9</v>
      </c>
      <c r="C56" s="8">
        <v>160.80000000000001</v>
      </c>
      <c r="D56" s="11">
        <f t="shared" si="1"/>
        <v>6.2189054726368154E-3</v>
      </c>
      <c r="E56" s="8">
        <f t="shared" si="8"/>
        <v>36.041151054993136</v>
      </c>
      <c r="F56" s="8">
        <f>_xlfn.XLOOKUP(A56,'AYR RACE 7 - WIN'!B:B,'AYR RACE 7 - WIN'!D:D)</f>
        <v>17.5</v>
      </c>
      <c r="G56" s="8">
        <f>_xlfn.XLOOKUP(B56,'AYR RACE 7 - WIN'!B:B,'AYR RACE 7 - WIN'!D:D)</f>
        <v>19.8</v>
      </c>
      <c r="H56" s="8">
        <f t="shared" si="2"/>
        <v>5.7142857142857141E-2</v>
      </c>
      <c r="I56" s="8">
        <f t="shared" si="3"/>
        <v>5.0505050505050504E-2</v>
      </c>
      <c r="J56" s="8">
        <f t="shared" si="4"/>
        <v>0.94285714285714284</v>
      </c>
      <c r="K56" s="10">
        <f t="shared" si="5"/>
        <v>3.0609121518212429E-3</v>
      </c>
      <c r="L56" s="16">
        <f t="shared" si="6"/>
        <v>326.7</v>
      </c>
      <c r="M56" s="17">
        <f t="shared" si="7"/>
        <v>-0.50780532598714412</v>
      </c>
    </row>
    <row r="57" spans="1:13">
      <c r="A57" s="5">
        <v>5</v>
      </c>
      <c r="B57" s="5">
        <v>2</v>
      </c>
      <c r="C57" s="8">
        <v>1535.8</v>
      </c>
      <c r="D57" s="11">
        <f t="shared" si="1"/>
        <v>6.5112644875634851E-4</v>
      </c>
      <c r="E57" s="8">
        <f t="shared" si="8"/>
        <v>3.7735493486410321</v>
      </c>
      <c r="F57" s="8">
        <f>_xlfn.XLOOKUP(A57,'AYR RACE 7 - WIN'!B:B,'AYR RACE 7 - WIN'!D:D)</f>
        <v>77.8</v>
      </c>
      <c r="G57" s="8">
        <f>_xlfn.XLOOKUP(B57,'AYR RACE 7 - WIN'!B:B,'AYR RACE 7 - WIN'!D:D)</f>
        <v>3.6</v>
      </c>
      <c r="H57" s="8">
        <f t="shared" si="2"/>
        <v>1.2853470437017995E-2</v>
      </c>
      <c r="I57" s="8">
        <f t="shared" si="3"/>
        <v>0.27777777777777779</v>
      </c>
      <c r="J57" s="8">
        <f t="shared" si="4"/>
        <v>0.98714652956298199</v>
      </c>
      <c r="K57" s="10">
        <f t="shared" si="5"/>
        <v>3.6168981481481482E-3</v>
      </c>
      <c r="L57" s="16">
        <f t="shared" si="6"/>
        <v>276.48</v>
      </c>
      <c r="M57" s="17">
        <f t="shared" si="7"/>
        <v>4.5548321759259256</v>
      </c>
    </row>
    <row r="58" spans="1:13">
      <c r="A58" s="5">
        <v>2</v>
      </c>
      <c r="B58" s="5">
        <v>8</v>
      </c>
      <c r="C58" s="8">
        <v>149.30000000000001</v>
      </c>
      <c r="D58" s="11">
        <f t="shared" si="1"/>
        <v>6.6979236436704613E-3</v>
      </c>
      <c r="E58" s="8">
        <f t="shared" si="8"/>
        <v>38.817261149651017</v>
      </c>
      <c r="F58" s="8">
        <f>_xlfn.XLOOKUP(A58,'AYR RACE 7 - WIN'!B:B,'AYR RACE 7 - WIN'!D:D)</f>
        <v>3.6</v>
      </c>
      <c r="G58" s="8">
        <f>_xlfn.XLOOKUP(B58,'AYR RACE 7 - WIN'!B:B,'AYR RACE 7 - WIN'!D:D)</f>
        <v>40.5</v>
      </c>
      <c r="H58" s="8">
        <f t="shared" si="2"/>
        <v>0.27777777777777779</v>
      </c>
      <c r="I58" s="8">
        <f t="shared" si="3"/>
        <v>2.4691358024691357E-2</v>
      </c>
      <c r="J58" s="8">
        <f t="shared" si="4"/>
        <v>0.72222222222222221</v>
      </c>
      <c r="K58" s="10">
        <f t="shared" si="5"/>
        <v>9.4966761633428296E-3</v>
      </c>
      <c r="L58" s="16">
        <f t="shared" si="6"/>
        <v>105.30000000000001</v>
      </c>
      <c r="M58" s="17">
        <f t="shared" si="7"/>
        <v>0.41785375118708457</v>
      </c>
    </row>
    <row r="59" spans="1:13">
      <c r="A59" s="5">
        <v>2</v>
      </c>
      <c r="B59" s="5">
        <v>11</v>
      </c>
      <c r="C59" s="8">
        <v>61</v>
      </c>
      <c r="D59" s="11">
        <f t="shared" si="1"/>
        <v>1.6393442622950821E-2</v>
      </c>
      <c r="E59" s="8">
        <f t="shared" si="8"/>
        <v>95.006837535129463</v>
      </c>
      <c r="F59" s="8">
        <f>_xlfn.XLOOKUP(A59,'AYR RACE 7 - WIN'!B:B,'AYR RACE 7 - WIN'!D:D)</f>
        <v>3.6</v>
      </c>
      <c r="G59" s="8">
        <f>_xlfn.XLOOKUP(B59,'AYR RACE 7 - WIN'!B:B,'AYR RACE 7 - WIN'!D:D)</f>
        <v>28.8</v>
      </c>
      <c r="H59" s="8">
        <f t="shared" si="2"/>
        <v>0.27777777777777779</v>
      </c>
      <c r="I59" s="8">
        <f t="shared" si="3"/>
        <v>3.4722222222222224E-2</v>
      </c>
      <c r="J59" s="8">
        <f t="shared" si="4"/>
        <v>0.72222222222222221</v>
      </c>
      <c r="K59" s="10">
        <f t="shared" si="5"/>
        <v>1.3354700854700856E-2</v>
      </c>
      <c r="L59" s="16">
        <f t="shared" si="6"/>
        <v>74.88</v>
      </c>
      <c r="M59" s="17">
        <f t="shared" si="7"/>
        <v>-0.18536324786324776</v>
      </c>
    </row>
    <row r="60" spans="1:13">
      <c r="A60" s="5">
        <v>7</v>
      </c>
      <c r="B60" s="5">
        <v>8</v>
      </c>
      <c r="C60" s="8">
        <v>138.4</v>
      </c>
      <c r="D60" s="11">
        <f t="shared" si="1"/>
        <v>7.2254335260115606E-3</v>
      </c>
      <c r="E60" s="8">
        <f t="shared" si="8"/>
        <v>41.87440093672614</v>
      </c>
      <c r="F60" s="8">
        <f>_xlfn.XLOOKUP(A60,'AYR RACE 7 - WIN'!B:B,'AYR RACE 7 - WIN'!D:D)</f>
        <v>4.2</v>
      </c>
      <c r="G60" s="8">
        <f>_xlfn.XLOOKUP(B60,'AYR RACE 7 - WIN'!B:B,'AYR RACE 7 - WIN'!D:D)</f>
        <v>40.5</v>
      </c>
      <c r="H60" s="8">
        <f t="shared" si="2"/>
        <v>0.23809523809523808</v>
      </c>
      <c r="I60" s="8">
        <f t="shared" si="3"/>
        <v>2.4691358024691357E-2</v>
      </c>
      <c r="J60" s="8">
        <f t="shared" si="4"/>
        <v>0.76190476190476186</v>
      </c>
      <c r="K60" s="10">
        <f t="shared" si="5"/>
        <v>7.716049382716049E-3</v>
      </c>
      <c r="L60" s="16">
        <f t="shared" si="6"/>
        <v>129.6</v>
      </c>
      <c r="M60" s="17">
        <f t="shared" si="7"/>
        <v>6.7901234567901314E-2</v>
      </c>
    </row>
    <row r="61" spans="1:13">
      <c r="A61" s="5">
        <v>7</v>
      </c>
      <c r="B61" s="5">
        <v>9</v>
      </c>
      <c r="C61" s="8">
        <v>65.3</v>
      </c>
      <c r="D61" s="11">
        <f t="shared" si="1"/>
        <v>1.5313935681470138E-2</v>
      </c>
      <c r="E61" s="8">
        <f t="shared" si="8"/>
        <v>88.75064455808419</v>
      </c>
      <c r="F61" s="8">
        <f>_xlfn.XLOOKUP(A61,'AYR RACE 7 - WIN'!B:B,'AYR RACE 7 - WIN'!D:D)</f>
        <v>4.2</v>
      </c>
      <c r="G61" s="8">
        <f>_xlfn.XLOOKUP(B61,'AYR RACE 7 - WIN'!B:B,'AYR RACE 7 - WIN'!D:D)</f>
        <v>19.8</v>
      </c>
      <c r="H61" s="8">
        <f t="shared" si="2"/>
        <v>0.23809523809523808</v>
      </c>
      <c r="I61" s="8">
        <f t="shared" si="3"/>
        <v>5.0505050505050504E-2</v>
      </c>
      <c r="J61" s="8">
        <f t="shared" si="4"/>
        <v>0.76190476190476186</v>
      </c>
      <c r="K61" s="10">
        <f t="shared" si="5"/>
        <v>1.578282828282828E-2</v>
      </c>
      <c r="L61" s="16">
        <f t="shared" si="6"/>
        <v>63.360000000000007</v>
      </c>
      <c r="M61" s="17">
        <f t="shared" si="7"/>
        <v>3.0618686868686629E-2</v>
      </c>
    </row>
    <row r="62" spans="1:13">
      <c r="A62" s="5">
        <v>7</v>
      </c>
      <c r="B62" s="5">
        <v>11</v>
      </c>
      <c r="C62" s="8">
        <v>61.9</v>
      </c>
      <c r="D62" s="11">
        <f t="shared" si="1"/>
        <v>1.6155088852988692E-2</v>
      </c>
      <c r="E62" s="8">
        <f t="shared" si="8"/>
        <v>93.625478023310123</v>
      </c>
      <c r="F62" s="8">
        <f>_xlfn.XLOOKUP(A62,'AYR RACE 7 - WIN'!B:B,'AYR RACE 7 - WIN'!D:D)</f>
        <v>4.2</v>
      </c>
      <c r="G62" s="8">
        <f>_xlfn.XLOOKUP(B62,'AYR RACE 7 - WIN'!B:B,'AYR RACE 7 - WIN'!D:D)</f>
        <v>28.8</v>
      </c>
      <c r="H62" s="8">
        <f t="shared" si="2"/>
        <v>0.23809523809523808</v>
      </c>
      <c r="I62" s="8">
        <f t="shared" si="3"/>
        <v>3.4722222222222224E-2</v>
      </c>
      <c r="J62" s="8">
        <f t="shared" si="4"/>
        <v>0.76190476190476186</v>
      </c>
      <c r="K62" s="10">
        <f t="shared" si="5"/>
        <v>1.0850694444444444E-2</v>
      </c>
      <c r="L62" s="16">
        <f t="shared" si="6"/>
        <v>92.16</v>
      </c>
      <c r="M62" s="17">
        <f t="shared" si="7"/>
        <v>-0.32834201388888884</v>
      </c>
    </row>
    <row r="63" spans="1:13">
      <c r="A63" s="5">
        <v>8</v>
      </c>
      <c r="B63" s="5">
        <v>2</v>
      </c>
      <c r="C63" s="8">
        <v>282.2</v>
      </c>
      <c r="D63" s="11">
        <f t="shared" si="1"/>
        <v>3.5435861091424525E-3</v>
      </c>
      <c r="E63" s="8">
        <f t="shared" si="8"/>
        <v>20.536559495545347</v>
      </c>
      <c r="F63" s="8">
        <f>_xlfn.XLOOKUP(A63,'AYR RACE 7 - WIN'!B:B,'AYR RACE 7 - WIN'!D:D)</f>
        <v>40.5</v>
      </c>
      <c r="G63" s="8">
        <f>_xlfn.XLOOKUP(B63,'AYR RACE 7 - WIN'!B:B,'AYR RACE 7 - WIN'!D:D)</f>
        <v>3.6</v>
      </c>
      <c r="H63" s="8">
        <f t="shared" si="2"/>
        <v>2.4691358024691357E-2</v>
      </c>
      <c r="I63" s="8">
        <f t="shared" si="3"/>
        <v>0.27777777777777779</v>
      </c>
      <c r="J63" s="8">
        <f t="shared" si="4"/>
        <v>0.97530864197530864</v>
      </c>
      <c r="K63" s="10">
        <f t="shared" si="5"/>
        <v>7.0323488045007029E-3</v>
      </c>
      <c r="L63" s="16">
        <f t="shared" si="6"/>
        <v>142.20000000000002</v>
      </c>
      <c r="M63" s="17">
        <f t="shared" si="7"/>
        <v>0.98452883263009805</v>
      </c>
    </row>
    <row r="64" spans="1:13">
      <c r="A64" s="5">
        <v>8</v>
      </c>
      <c r="B64" s="5">
        <v>7</v>
      </c>
      <c r="C64" s="8">
        <v>232.6</v>
      </c>
      <c r="D64" s="11">
        <f t="shared" si="1"/>
        <v>4.2992261392949269E-3</v>
      </c>
      <c r="E64" s="8">
        <f t="shared" si="8"/>
        <v>24.915808639909272</v>
      </c>
      <c r="F64" s="8">
        <f>_xlfn.XLOOKUP(A64,'AYR RACE 7 - WIN'!B:B,'AYR RACE 7 - WIN'!D:D)</f>
        <v>40.5</v>
      </c>
      <c r="G64" s="8">
        <f>_xlfn.XLOOKUP(B64,'AYR RACE 7 - WIN'!B:B,'AYR RACE 7 - WIN'!D:D)</f>
        <v>4.2</v>
      </c>
      <c r="H64" s="8">
        <f t="shared" si="2"/>
        <v>2.4691358024691357E-2</v>
      </c>
      <c r="I64" s="8">
        <f t="shared" si="3"/>
        <v>0.23809523809523808</v>
      </c>
      <c r="J64" s="8">
        <f t="shared" si="4"/>
        <v>0.97530864197530864</v>
      </c>
      <c r="K64" s="10">
        <f t="shared" si="5"/>
        <v>6.0277275467148879E-3</v>
      </c>
      <c r="L64" s="16">
        <f t="shared" si="6"/>
        <v>165.9</v>
      </c>
      <c r="M64" s="17">
        <f t="shared" si="7"/>
        <v>0.40204942736588301</v>
      </c>
    </row>
    <row r="65" spans="1:13">
      <c r="A65" s="5">
        <v>8</v>
      </c>
      <c r="B65" s="5">
        <v>11</v>
      </c>
      <c r="C65" s="8">
        <v>673.4</v>
      </c>
      <c r="D65" s="11">
        <f t="shared" si="1"/>
        <v>1.4850014850014851E-3</v>
      </c>
      <c r="E65" s="8">
        <f t="shared" si="8"/>
        <v>8.606202984322687</v>
      </c>
      <c r="F65" s="8">
        <f>_xlfn.XLOOKUP(A65,'AYR RACE 7 - WIN'!B:B,'AYR RACE 7 - WIN'!D:D)</f>
        <v>40.5</v>
      </c>
      <c r="G65" s="8">
        <f>_xlfn.XLOOKUP(B65,'AYR RACE 7 - WIN'!B:B,'AYR RACE 7 - WIN'!D:D)</f>
        <v>28.8</v>
      </c>
      <c r="H65" s="8">
        <f t="shared" si="2"/>
        <v>2.4691358024691357E-2</v>
      </c>
      <c r="I65" s="8">
        <f t="shared" si="3"/>
        <v>3.4722222222222224E-2</v>
      </c>
      <c r="J65" s="8">
        <f t="shared" si="4"/>
        <v>0.97530864197530864</v>
      </c>
      <c r="K65" s="10">
        <f t="shared" si="5"/>
        <v>8.7904360056258787E-4</v>
      </c>
      <c r="L65" s="16">
        <f t="shared" si="6"/>
        <v>1137.6000000000001</v>
      </c>
      <c r="M65" s="17">
        <f t="shared" si="7"/>
        <v>-0.40805203938115342</v>
      </c>
    </row>
    <row r="66" spans="1:13">
      <c r="A66" s="5">
        <v>9</v>
      </c>
      <c r="B66" s="5">
        <v>7</v>
      </c>
      <c r="C66" s="8">
        <v>98.4</v>
      </c>
      <c r="D66" s="11">
        <f t="shared" si="1"/>
        <v>1.016260162601626E-2</v>
      </c>
      <c r="E66" s="8">
        <f t="shared" ref="E66:E97" si="9">IF(F66=0,0,($Q$2/(C66*$O$2)))</f>
        <v>58.896515138647331</v>
      </c>
      <c r="F66" s="8">
        <f>_xlfn.XLOOKUP(A66,'AYR RACE 7 - WIN'!B:B,'AYR RACE 7 - WIN'!D:D)</f>
        <v>19.8</v>
      </c>
      <c r="G66" s="8">
        <f>_xlfn.XLOOKUP(B66,'AYR RACE 7 - WIN'!B:B,'AYR RACE 7 - WIN'!D:D)</f>
        <v>4.2</v>
      </c>
      <c r="H66" s="8">
        <f t="shared" si="2"/>
        <v>5.0505050505050504E-2</v>
      </c>
      <c r="I66" s="8">
        <f t="shared" si="3"/>
        <v>0.23809523809523808</v>
      </c>
      <c r="J66" s="8">
        <f t="shared" si="4"/>
        <v>0.9494949494949495</v>
      </c>
      <c r="K66" s="10">
        <f t="shared" si="5"/>
        <v>1.266464032421479E-2</v>
      </c>
      <c r="L66" s="16">
        <f t="shared" si="6"/>
        <v>78.960000000000008</v>
      </c>
      <c r="M66" s="17">
        <f t="shared" si="7"/>
        <v>0.24620060790273546</v>
      </c>
    </row>
    <row r="67" spans="1:13">
      <c r="A67" s="5">
        <v>9</v>
      </c>
      <c r="B67" s="5">
        <v>11</v>
      </c>
      <c r="C67" s="8">
        <v>192.5</v>
      </c>
      <c r="D67" s="11">
        <f t="shared" si="1"/>
        <v>5.1948051948051948E-3</v>
      </c>
      <c r="E67" s="8">
        <f t="shared" si="9"/>
        <v>30.106062803339725</v>
      </c>
      <c r="F67" s="8">
        <f>_xlfn.XLOOKUP(A67,'AYR RACE 7 - WIN'!B:B,'AYR RACE 7 - WIN'!D:D)</f>
        <v>19.8</v>
      </c>
      <c r="G67" s="8">
        <f>_xlfn.XLOOKUP(B67,'AYR RACE 7 - WIN'!B:B,'AYR RACE 7 - WIN'!D:D)</f>
        <v>28.8</v>
      </c>
      <c r="H67" s="8">
        <f t="shared" ref="H67:H99" si="10">IFERROR(1/F67,0)</f>
        <v>5.0505050505050504E-2</v>
      </c>
      <c r="I67" s="8">
        <f t="shared" ref="I67:I99" si="11">IFERROR(1/G67,0)</f>
        <v>3.4722222222222224E-2</v>
      </c>
      <c r="J67" s="8">
        <f t="shared" ref="J67:J99" si="12">1-H67</f>
        <v>0.9494949494949495</v>
      </c>
      <c r="K67" s="10">
        <f t="shared" ref="K67:K99" si="13">H67*I67/J67</f>
        <v>1.8469267139479906E-3</v>
      </c>
      <c r="L67" s="16">
        <f t="shared" ref="L67:L99" si="14">IFERROR(1/K67,0)</f>
        <v>541.43999999999994</v>
      </c>
      <c r="M67" s="17">
        <f t="shared" ref="M67:M99" si="15">IFERROR(C67/L67-1,0)</f>
        <v>-0.64446660756501184</v>
      </c>
    </row>
    <row r="68" spans="1:13">
      <c r="A68" s="5">
        <v>11</v>
      </c>
      <c r="B68" s="5">
        <v>2</v>
      </c>
      <c r="C68" s="8">
        <v>103.8</v>
      </c>
      <c r="D68" s="11">
        <f t="shared" si="1"/>
        <v>9.6339113680154152E-3</v>
      </c>
      <c r="E68" s="8">
        <f t="shared" si="9"/>
        <v>55.832534582301513</v>
      </c>
      <c r="F68" s="8">
        <f>_xlfn.XLOOKUP(A68,'AYR RACE 7 - WIN'!B:B,'AYR RACE 7 - WIN'!D:D)</f>
        <v>28.8</v>
      </c>
      <c r="G68" s="8">
        <f>_xlfn.XLOOKUP(B68,'AYR RACE 7 - WIN'!B:B,'AYR RACE 7 - WIN'!D:D)</f>
        <v>3.6</v>
      </c>
      <c r="H68" s="8">
        <f t="shared" si="10"/>
        <v>3.4722222222222224E-2</v>
      </c>
      <c r="I68" s="8">
        <f t="shared" si="11"/>
        <v>0.27777777777777779</v>
      </c>
      <c r="J68" s="8">
        <f t="shared" si="12"/>
        <v>0.96527777777777779</v>
      </c>
      <c r="K68" s="10">
        <f t="shared" si="13"/>
        <v>9.9920063948840936E-3</v>
      </c>
      <c r="L68" s="16">
        <f t="shared" si="14"/>
        <v>100.07999999999998</v>
      </c>
      <c r="M68" s="17">
        <f t="shared" si="15"/>
        <v>3.7170263788969038E-2</v>
      </c>
    </row>
    <row r="69" spans="1:13">
      <c r="A69" s="5">
        <v>11</v>
      </c>
      <c r="B69" s="5">
        <v>7</v>
      </c>
      <c r="C69" s="8">
        <v>98.4</v>
      </c>
      <c r="D69" s="11">
        <f t="shared" si="1"/>
        <v>1.016260162601626E-2</v>
      </c>
      <c r="E69" s="8">
        <f t="shared" si="9"/>
        <v>58.896515138647331</v>
      </c>
      <c r="F69" s="8">
        <f>_xlfn.XLOOKUP(A69,'AYR RACE 7 - WIN'!B:B,'AYR RACE 7 - WIN'!D:D)</f>
        <v>28.8</v>
      </c>
      <c r="G69" s="8">
        <f>_xlfn.XLOOKUP(B69,'AYR RACE 7 - WIN'!B:B,'AYR RACE 7 - WIN'!D:D)</f>
        <v>4.2</v>
      </c>
      <c r="H69" s="8">
        <f t="shared" si="10"/>
        <v>3.4722222222222224E-2</v>
      </c>
      <c r="I69" s="8">
        <f t="shared" si="11"/>
        <v>0.23809523809523808</v>
      </c>
      <c r="J69" s="8">
        <f t="shared" si="12"/>
        <v>0.96527777777777779</v>
      </c>
      <c r="K69" s="10">
        <f t="shared" si="13"/>
        <v>8.5645769099006504E-3</v>
      </c>
      <c r="L69" s="16">
        <f t="shared" si="14"/>
        <v>116.76</v>
      </c>
      <c r="M69" s="17">
        <f t="shared" si="15"/>
        <v>-0.15724563206577591</v>
      </c>
    </row>
    <row r="70" spans="1:13">
      <c r="A70" s="5">
        <v>11</v>
      </c>
      <c r="B70" s="5">
        <v>8</v>
      </c>
      <c r="C70" s="8">
        <v>470</v>
      </c>
      <c r="D70" s="11">
        <f t="shared" si="1"/>
        <v>2.1276595744680851E-3</v>
      </c>
      <c r="E70" s="8">
        <f t="shared" si="9"/>
        <v>12.330674658814676</v>
      </c>
      <c r="F70" s="8">
        <f>_xlfn.XLOOKUP(A70,'AYR RACE 7 - WIN'!B:B,'AYR RACE 7 - WIN'!D:D)</f>
        <v>28.8</v>
      </c>
      <c r="G70" s="8">
        <f>_xlfn.XLOOKUP(B70,'AYR RACE 7 - WIN'!B:B,'AYR RACE 7 - WIN'!D:D)</f>
        <v>40.5</v>
      </c>
      <c r="H70" s="8">
        <f t="shared" si="10"/>
        <v>3.4722222222222224E-2</v>
      </c>
      <c r="I70" s="8">
        <f t="shared" si="11"/>
        <v>2.4691358024691357E-2</v>
      </c>
      <c r="J70" s="8">
        <f t="shared" si="12"/>
        <v>0.96527777777777779</v>
      </c>
      <c r="K70" s="10">
        <f t="shared" si="13"/>
        <v>8.8817834621191926E-4</v>
      </c>
      <c r="L70" s="16">
        <f t="shared" si="14"/>
        <v>1125.9000000000001</v>
      </c>
      <c r="M70" s="17">
        <f t="shared" si="15"/>
        <v>-0.58255617728039799</v>
      </c>
    </row>
    <row r="71" spans="1:13">
      <c r="A71" s="5">
        <v>11</v>
      </c>
      <c r="B71" s="5">
        <v>9</v>
      </c>
      <c r="C71" s="8">
        <v>193.8</v>
      </c>
      <c r="D71" s="11">
        <f t="shared" si="1"/>
        <v>5.1599587203302374E-3</v>
      </c>
      <c r="E71" s="8">
        <f t="shared" si="9"/>
        <v>29.904112949653751</v>
      </c>
      <c r="F71" s="8">
        <f>_xlfn.XLOOKUP(A71,'AYR RACE 7 - WIN'!B:B,'AYR RACE 7 - WIN'!D:D)</f>
        <v>28.8</v>
      </c>
      <c r="G71" s="8">
        <f>_xlfn.XLOOKUP(B71,'AYR RACE 7 - WIN'!B:B,'AYR RACE 7 - WIN'!D:D)</f>
        <v>19.8</v>
      </c>
      <c r="H71" s="8">
        <f t="shared" si="10"/>
        <v>3.4722222222222224E-2</v>
      </c>
      <c r="I71" s="8">
        <f t="shared" si="11"/>
        <v>5.0505050505050504E-2</v>
      </c>
      <c r="J71" s="8">
        <f t="shared" si="12"/>
        <v>0.96527777777777779</v>
      </c>
      <c r="K71" s="10">
        <f t="shared" si="13"/>
        <v>1.8167284354334715E-3</v>
      </c>
      <c r="L71" s="16">
        <f t="shared" si="14"/>
        <v>550.43999999999994</v>
      </c>
      <c r="M71" s="17">
        <f t="shared" si="15"/>
        <v>-0.64791802921299313</v>
      </c>
    </row>
    <row r="72" spans="1:13">
      <c r="A72" s="5">
        <v>3</v>
      </c>
      <c r="B72" s="5">
        <v>11</v>
      </c>
      <c r="C72" s="8">
        <v>106.6</v>
      </c>
      <c r="D72" s="11">
        <f t="shared" si="1"/>
        <v>9.3808630393996256E-3</v>
      </c>
      <c r="E72" s="8">
        <f t="shared" si="9"/>
        <v>54.366013974135996</v>
      </c>
      <c r="F72" s="8">
        <f>_xlfn.XLOOKUP(A72,'AYR RACE 7 - WIN'!B:B,'AYR RACE 7 - WIN'!D:D)</f>
        <v>8.6999999999999993</v>
      </c>
      <c r="G72" s="8">
        <f>_xlfn.XLOOKUP(B72,'AYR RACE 7 - WIN'!B:B,'AYR RACE 7 - WIN'!D:D)</f>
        <v>28.8</v>
      </c>
      <c r="H72" s="8">
        <f t="shared" si="10"/>
        <v>0.1149425287356322</v>
      </c>
      <c r="I72" s="8">
        <f t="shared" si="11"/>
        <v>3.4722222222222224E-2</v>
      </c>
      <c r="J72" s="8">
        <f t="shared" si="12"/>
        <v>0.88505747126436785</v>
      </c>
      <c r="K72" s="10">
        <f t="shared" si="13"/>
        <v>4.5093795093795108E-3</v>
      </c>
      <c r="L72" s="16">
        <f t="shared" si="14"/>
        <v>221.75999999999993</v>
      </c>
      <c r="M72" s="17">
        <f t="shared" si="15"/>
        <v>-0.51930014430014415</v>
      </c>
    </row>
    <row r="73" spans="1:13">
      <c r="A73" s="5">
        <v>11</v>
      </c>
      <c r="B73" s="5">
        <v>3</v>
      </c>
      <c r="C73" s="8">
        <v>154.69999999999999</v>
      </c>
      <c r="D73" s="11">
        <f t="shared" si="1"/>
        <v>6.4641241111829352E-3</v>
      </c>
      <c r="E73" s="8">
        <f t="shared" si="9"/>
        <v>37.462295343522285</v>
      </c>
      <c r="F73" s="8">
        <f>_xlfn.XLOOKUP(A73,'AYR RACE 7 - WIN'!B:B,'AYR RACE 7 - WIN'!D:D)</f>
        <v>28.8</v>
      </c>
      <c r="G73" s="8">
        <f>_xlfn.XLOOKUP(B73,'AYR RACE 7 - WIN'!B:B,'AYR RACE 7 - WIN'!D:D)</f>
        <v>8.6999999999999993</v>
      </c>
      <c r="H73" s="8">
        <f t="shared" si="10"/>
        <v>3.4722222222222224E-2</v>
      </c>
      <c r="I73" s="8">
        <f t="shared" si="11"/>
        <v>0.1149425287356322</v>
      </c>
      <c r="J73" s="8">
        <f t="shared" si="12"/>
        <v>0.96527777777777779</v>
      </c>
      <c r="K73" s="10">
        <f t="shared" si="13"/>
        <v>4.1346233358141079E-3</v>
      </c>
      <c r="L73" s="16">
        <f t="shared" si="14"/>
        <v>241.85999999999996</v>
      </c>
      <c r="M73" s="17">
        <f t="shared" si="15"/>
        <v>-0.3603737699495575</v>
      </c>
    </row>
    <row r="74" spans="1:13">
      <c r="A74" s="5">
        <v>11</v>
      </c>
      <c r="B74" s="5">
        <v>4</v>
      </c>
      <c r="C74" s="8">
        <v>80.900000000000006</v>
      </c>
      <c r="D74" s="11">
        <f t="shared" si="1"/>
        <v>1.2360939431396786E-2</v>
      </c>
      <c r="E74" s="8">
        <f t="shared" si="9"/>
        <v>71.636799624757685</v>
      </c>
      <c r="F74" s="8">
        <f>_xlfn.XLOOKUP(A74,'AYR RACE 7 - WIN'!B:B,'AYR RACE 7 - WIN'!D:D)</f>
        <v>28.8</v>
      </c>
      <c r="G74" s="8">
        <f>_xlfn.XLOOKUP(B74,'AYR RACE 7 - WIN'!B:B,'AYR RACE 7 - WIN'!D:D)</f>
        <v>2.4</v>
      </c>
      <c r="H74" s="8">
        <f t="shared" si="10"/>
        <v>3.4722222222222224E-2</v>
      </c>
      <c r="I74" s="8">
        <f t="shared" si="11"/>
        <v>0.41666666666666669</v>
      </c>
      <c r="J74" s="8">
        <f t="shared" si="12"/>
        <v>0.96527777777777779</v>
      </c>
      <c r="K74" s="10">
        <f t="shared" si="13"/>
        <v>1.4988009592326141E-2</v>
      </c>
      <c r="L74" s="16">
        <f t="shared" si="14"/>
        <v>66.719999999999985</v>
      </c>
      <c r="M74" s="17">
        <f t="shared" si="15"/>
        <v>0.212529976019185</v>
      </c>
    </row>
    <row r="75" spans="1:13">
      <c r="A75" s="5">
        <v>11</v>
      </c>
      <c r="B75" s="5">
        <v>10</v>
      </c>
      <c r="C75" s="8">
        <v>244.9</v>
      </c>
      <c r="D75" s="11">
        <f t="shared" si="1"/>
        <v>4.0832993058391182E-3</v>
      </c>
      <c r="E75" s="8">
        <f t="shared" si="9"/>
        <v>23.664422579187004</v>
      </c>
      <c r="F75" s="8">
        <f>_xlfn.XLOOKUP(A75,'AYR RACE 7 - WIN'!B:B,'AYR RACE 7 - WIN'!D:D)</f>
        <v>28.8</v>
      </c>
      <c r="G75" s="8">
        <f>_xlfn.XLOOKUP(B75,'AYR RACE 7 - WIN'!B:B,'AYR RACE 7 - WIN'!D:D)</f>
        <v>17.5</v>
      </c>
      <c r="H75" s="8">
        <f t="shared" si="10"/>
        <v>3.4722222222222224E-2</v>
      </c>
      <c r="I75" s="8">
        <f t="shared" si="11"/>
        <v>5.7142857142857141E-2</v>
      </c>
      <c r="J75" s="8">
        <f t="shared" si="12"/>
        <v>0.96527777777777779</v>
      </c>
      <c r="K75" s="10">
        <f t="shared" si="13"/>
        <v>2.0554984583761563E-3</v>
      </c>
      <c r="L75" s="16">
        <f t="shared" si="14"/>
        <v>486.5</v>
      </c>
      <c r="M75" s="17">
        <f t="shared" si="15"/>
        <v>-0.49660842754367929</v>
      </c>
    </row>
    <row r="76" spans="1:13">
      <c r="A76" s="5">
        <v>1</v>
      </c>
      <c r="B76" s="5">
        <v>4</v>
      </c>
      <c r="C76" s="8">
        <v>352.1</v>
      </c>
      <c r="D76" s="11">
        <f t="shared" si="1"/>
        <v>2.8401022436807723E-3</v>
      </c>
      <c r="E76" s="8">
        <f t="shared" si="9"/>
        <v>0</v>
      </c>
      <c r="F76" s="8">
        <f>_xlfn.XLOOKUP(A76,'AYR RACE 7 - WIN'!B:B,'AYR RACE 7 - WIN'!D:D)</f>
        <v>0</v>
      </c>
      <c r="G76" s="8">
        <f>_xlfn.XLOOKUP(B76,'AYR RACE 7 - WIN'!B:B,'AYR RACE 7 - WIN'!D:D)</f>
        <v>2.4</v>
      </c>
      <c r="H76" s="8">
        <f t="shared" si="10"/>
        <v>0</v>
      </c>
      <c r="I76" s="8">
        <f t="shared" si="11"/>
        <v>0.41666666666666669</v>
      </c>
      <c r="J76" s="8">
        <f t="shared" si="12"/>
        <v>1</v>
      </c>
      <c r="K76" s="10">
        <f t="shared" si="13"/>
        <v>0</v>
      </c>
      <c r="L76" s="16">
        <f t="shared" si="14"/>
        <v>0</v>
      </c>
      <c r="M76" s="17">
        <f t="shared" si="15"/>
        <v>0</v>
      </c>
    </row>
    <row r="77" spans="1:13">
      <c r="A77" s="5">
        <v>1</v>
      </c>
      <c r="B77" s="5">
        <v>7</v>
      </c>
      <c r="C77" s="8">
        <v>320</v>
      </c>
      <c r="D77" s="11">
        <f t="shared" si="1"/>
        <v>3.1250000000000002E-3</v>
      </c>
      <c r="E77" s="8">
        <f t="shared" si="9"/>
        <v>0</v>
      </c>
      <c r="F77" s="8">
        <f>_xlfn.XLOOKUP(A77,'AYR RACE 7 - WIN'!B:B,'AYR RACE 7 - WIN'!D:D)</f>
        <v>0</v>
      </c>
      <c r="G77" s="8">
        <f>_xlfn.XLOOKUP(B77,'AYR RACE 7 - WIN'!B:B,'AYR RACE 7 - WIN'!D:D)</f>
        <v>4.2</v>
      </c>
      <c r="H77" s="8">
        <f t="shared" si="10"/>
        <v>0</v>
      </c>
      <c r="I77" s="8">
        <f t="shared" si="11"/>
        <v>0.23809523809523808</v>
      </c>
      <c r="J77" s="8">
        <f t="shared" si="12"/>
        <v>1</v>
      </c>
      <c r="K77" s="10">
        <f t="shared" si="13"/>
        <v>0</v>
      </c>
      <c r="L77" s="16">
        <f t="shared" si="14"/>
        <v>0</v>
      </c>
      <c r="M77" s="17">
        <f t="shared" si="15"/>
        <v>0</v>
      </c>
    </row>
    <row r="78" spans="1:13">
      <c r="A78" s="5">
        <v>2</v>
      </c>
      <c r="B78" s="5">
        <v>5</v>
      </c>
      <c r="C78" s="8">
        <v>625.70000000000005</v>
      </c>
      <c r="D78" s="11">
        <f t="shared" si="1"/>
        <v>1.5982100047946298E-3</v>
      </c>
      <c r="E78" s="8">
        <f t="shared" si="9"/>
        <v>9.2622935746250548</v>
      </c>
      <c r="F78" s="8">
        <f>_xlfn.XLOOKUP(A78,'AYR RACE 7 - WIN'!B:B,'AYR RACE 7 - WIN'!D:D)</f>
        <v>3.6</v>
      </c>
      <c r="G78" s="8">
        <f>_xlfn.XLOOKUP(B78,'AYR RACE 7 - WIN'!B:B,'AYR RACE 7 - WIN'!D:D)</f>
        <v>77.8</v>
      </c>
      <c r="H78" s="8">
        <f t="shared" si="10"/>
        <v>0.27777777777777779</v>
      </c>
      <c r="I78" s="8">
        <f t="shared" si="11"/>
        <v>1.2853470437017995E-2</v>
      </c>
      <c r="J78" s="8">
        <f t="shared" si="12"/>
        <v>0.72222222222222221</v>
      </c>
      <c r="K78" s="10">
        <f t="shared" si="13"/>
        <v>4.9436424757761518E-3</v>
      </c>
      <c r="L78" s="16">
        <f t="shared" si="14"/>
        <v>202.28</v>
      </c>
      <c r="M78" s="17">
        <f t="shared" si="15"/>
        <v>2.0932370970931382</v>
      </c>
    </row>
    <row r="79" spans="1:13">
      <c r="A79" s="5">
        <v>4</v>
      </c>
      <c r="B79" s="5">
        <v>1</v>
      </c>
      <c r="C79" s="8">
        <v>352.1</v>
      </c>
      <c r="D79" s="11">
        <f t="shared" si="1"/>
        <v>2.8401022436807723E-3</v>
      </c>
      <c r="E79" s="8">
        <f t="shared" si="9"/>
        <v>16.459577079360685</v>
      </c>
      <c r="F79" s="8">
        <f>_xlfn.XLOOKUP(A79,'AYR RACE 7 - WIN'!B:B,'AYR RACE 7 - WIN'!D:D)</f>
        <v>2.4</v>
      </c>
      <c r="G79" s="8">
        <f>_xlfn.XLOOKUP(B79,'AYR RACE 7 - WIN'!B:B,'AYR RACE 7 - WIN'!D:D)</f>
        <v>0</v>
      </c>
      <c r="H79" s="8">
        <f t="shared" si="10"/>
        <v>0.41666666666666669</v>
      </c>
      <c r="I79" s="8">
        <f t="shared" si="11"/>
        <v>0</v>
      </c>
      <c r="J79" s="8">
        <f t="shared" si="12"/>
        <v>0.58333333333333326</v>
      </c>
      <c r="K79" s="10">
        <f t="shared" si="13"/>
        <v>0</v>
      </c>
      <c r="L79" s="16">
        <f t="shared" si="14"/>
        <v>0</v>
      </c>
      <c r="M79" s="17">
        <f t="shared" si="15"/>
        <v>0</v>
      </c>
    </row>
    <row r="80" spans="1:13">
      <c r="A80" s="5">
        <v>4</v>
      </c>
      <c r="B80" s="5">
        <v>5</v>
      </c>
      <c r="C80" s="8">
        <v>342.5</v>
      </c>
      <c r="D80" s="11">
        <f t="shared" si="1"/>
        <v>2.9197080291970801E-3</v>
      </c>
      <c r="E80" s="8">
        <f t="shared" si="9"/>
        <v>16.920925809176342</v>
      </c>
      <c r="F80" s="8">
        <f>_xlfn.XLOOKUP(A80,'AYR RACE 7 - WIN'!B:B,'AYR RACE 7 - WIN'!D:D)</f>
        <v>2.4</v>
      </c>
      <c r="G80" s="8">
        <f>_xlfn.XLOOKUP(B80,'AYR RACE 7 - WIN'!B:B,'AYR RACE 7 - WIN'!D:D)</f>
        <v>77.8</v>
      </c>
      <c r="H80" s="8">
        <f t="shared" si="10"/>
        <v>0.41666666666666669</v>
      </c>
      <c r="I80" s="8">
        <f t="shared" si="11"/>
        <v>1.2853470437017995E-2</v>
      </c>
      <c r="J80" s="8">
        <f t="shared" si="12"/>
        <v>0.58333333333333326</v>
      </c>
      <c r="K80" s="10">
        <f t="shared" si="13"/>
        <v>9.1810503121557124E-3</v>
      </c>
      <c r="L80" s="16">
        <f t="shared" si="14"/>
        <v>108.91999999999997</v>
      </c>
      <c r="M80" s="17">
        <f t="shared" si="15"/>
        <v>2.1445097319133315</v>
      </c>
    </row>
    <row r="81" spans="1:13">
      <c r="A81" s="5">
        <v>5</v>
      </c>
      <c r="B81" s="5">
        <v>4</v>
      </c>
      <c r="C81" s="8">
        <v>568.5</v>
      </c>
      <c r="D81" s="11">
        <f t="shared" si="1"/>
        <v>1.7590149516270889E-3</v>
      </c>
      <c r="E81" s="8">
        <f t="shared" si="9"/>
        <v>10.194225311597005</v>
      </c>
      <c r="F81" s="8">
        <f>_xlfn.XLOOKUP(A81,'AYR RACE 7 - WIN'!B:B,'AYR RACE 7 - WIN'!D:D)</f>
        <v>77.8</v>
      </c>
      <c r="G81" s="8">
        <f>_xlfn.XLOOKUP(B81,'AYR RACE 7 - WIN'!B:B,'AYR RACE 7 - WIN'!D:D)</f>
        <v>2.4</v>
      </c>
      <c r="H81" s="8">
        <f t="shared" si="10"/>
        <v>1.2853470437017995E-2</v>
      </c>
      <c r="I81" s="8">
        <f t="shared" si="11"/>
        <v>0.41666666666666669</v>
      </c>
      <c r="J81" s="8">
        <f t="shared" si="12"/>
        <v>0.98714652956298199</v>
      </c>
      <c r="K81" s="10">
        <f t="shared" si="13"/>
        <v>5.4253472222222229E-3</v>
      </c>
      <c r="L81" s="16">
        <f t="shared" si="14"/>
        <v>184.31999999999996</v>
      </c>
      <c r="M81" s="17">
        <f t="shared" si="15"/>
        <v>2.0843098958333339</v>
      </c>
    </row>
    <row r="82" spans="1:13">
      <c r="A82" s="5">
        <v>5</v>
      </c>
      <c r="B82" s="5">
        <v>7</v>
      </c>
      <c r="C82" s="8">
        <v>943</v>
      </c>
      <c r="D82" s="11">
        <f t="shared" si="1"/>
        <v>1.0604453870625664E-3</v>
      </c>
      <c r="E82" s="8">
        <f t="shared" si="9"/>
        <v>6.1457233188153735</v>
      </c>
      <c r="F82" s="8">
        <f>_xlfn.XLOOKUP(A82,'AYR RACE 7 - WIN'!B:B,'AYR RACE 7 - WIN'!D:D)</f>
        <v>77.8</v>
      </c>
      <c r="G82" s="8">
        <f>_xlfn.XLOOKUP(B82,'AYR RACE 7 - WIN'!B:B,'AYR RACE 7 - WIN'!D:D)</f>
        <v>4.2</v>
      </c>
      <c r="H82" s="8">
        <f t="shared" si="10"/>
        <v>1.2853470437017995E-2</v>
      </c>
      <c r="I82" s="8">
        <f t="shared" si="11"/>
        <v>0.23809523809523808</v>
      </c>
      <c r="J82" s="8">
        <f t="shared" si="12"/>
        <v>0.98714652956298199</v>
      </c>
      <c r="K82" s="10">
        <f t="shared" si="13"/>
        <v>3.1001984126984125E-3</v>
      </c>
      <c r="L82" s="16">
        <f t="shared" si="14"/>
        <v>322.56</v>
      </c>
      <c r="M82" s="17">
        <f t="shared" si="15"/>
        <v>1.9234871031746033</v>
      </c>
    </row>
    <row r="83" spans="1:13">
      <c r="A83" s="5">
        <v>6</v>
      </c>
      <c r="B83" s="5">
        <v>11</v>
      </c>
      <c r="C83" s="8">
        <v>337.6</v>
      </c>
      <c r="D83" s="11">
        <f t="shared" si="1"/>
        <v>2.9620853080568718E-3</v>
      </c>
      <c r="E83" s="8">
        <f t="shared" si="9"/>
        <v>17.16651981529294</v>
      </c>
      <c r="F83" s="8">
        <f>_xlfn.XLOOKUP(A83,'AYR RACE 7 - WIN'!B:B,'AYR RACE 7 - WIN'!D:D)</f>
        <v>48.1</v>
      </c>
      <c r="G83" s="8">
        <f>_xlfn.XLOOKUP(B83,'AYR RACE 7 - WIN'!B:B,'AYR RACE 7 - WIN'!D:D)</f>
        <v>28.8</v>
      </c>
      <c r="H83" s="8">
        <f t="shared" si="10"/>
        <v>2.0790020790020788E-2</v>
      </c>
      <c r="I83" s="8">
        <f t="shared" si="11"/>
        <v>3.4722222222222224E-2</v>
      </c>
      <c r="J83" s="8">
        <f t="shared" si="12"/>
        <v>0.97920997920997921</v>
      </c>
      <c r="K83" s="10">
        <f t="shared" si="13"/>
        <v>7.3720217032318942E-4</v>
      </c>
      <c r="L83" s="16">
        <f t="shared" si="14"/>
        <v>1356.48</v>
      </c>
      <c r="M83" s="17">
        <f t="shared" si="15"/>
        <v>-0.75112054729889122</v>
      </c>
    </row>
    <row r="84" spans="1:13">
      <c r="A84" s="5">
        <v>7</v>
      </c>
      <c r="B84" s="5">
        <v>1</v>
      </c>
      <c r="C84" s="8">
        <v>352.1</v>
      </c>
      <c r="D84" s="11">
        <f t="shared" si="1"/>
        <v>2.8401022436807723E-3</v>
      </c>
      <c r="E84" s="8">
        <f t="shared" si="9"/>
        <v>16.459577079360685</v>
      </c>
      <c r="F84" s="8">
        <f>_xlfn.XLOOKUP(A84,'AYR RACE 7 - WIN'!B:B,'AYR RACE 7 - WIN'!D:D)</f>
        <v>4.2</v>
      </c>
      <c r="G84" s="8">
        <f>_xlfn.XLOOKUP(B84,'AYR RACE 7 - WIN'!B:B,'AYR RACE 7 - WIN'!D:D)</f>
        <v>0</v>
      </c>
      <c r="H84" s="8">
        <f t="shared" si="10"/>
        <v>0.23809523809523808</v>
      </c>
      <c r="I84" s="8">
        <f t="shared" si="11"/>
        <v>0</v>
      </c>
      <c r="J84" s="8">
        <f t="shared" si="12"/>
        <v>0.76190476190476186</v>
      </c>
      <c r="K84" s="10">
        <f t="shared" si="13"/>
        <v>0</v>
      </c>
      <c r="L84" s="16">
        <f t="shared" si="14"/>
        <v>0</v>
      </c>
      <c r="M84" s="17">
        <f t="shared" si="15"/>
        <v>0</v>
      </c>
    </row>
    <row r="85" spans="1:13">
      <c r="A85" s="5">
        <v>7</v>
      </c>
      <c r="B85" s="5">
        <v>5</v>
      </c>
      <c r="C85" s="8">
        <v>457.6</v>
      </c>
      <c r="D85" s="11">
        <f t="shared" si="1"/>
        <v>2.185314685314685E-3</v>
      </c>
      <c r="E85" s="8">
        <f t="shared" si="9"/>
        <v>12.664810073520318</v>
      </c>
      <c r="F85" s="8">
        <f>_xlfn.XLOOKUP(A85,'AYR RACE 7 - WIN'!B:B,'AYR RACE 7 - WIN'!D:D)</f>
        <v>4.2</v>
      </c>
      <c r="G85" s="8">
        <f>_xlfn.XLOOKUP(B85,'AYR RACE 7 - WIN'!B:B,'AYR RACE 7 - WIN'!D:D)</f>
        <v>77.8</v>
      </c>
      <c r="H85" s="8">
        <f t="shared" si="10"/>
        <v>0.23809523809523808</v>
      </c>
      <c r="I85" s="8">
        <f t="shared" si="11"/>
        <v>1.2853470437017995E-2</v>
      </c>
      <c r="J85" s="8">
        <f t="shared" si="12"/>
        <v>0.76190476190476186</v>
      </c>
      <c r="K85" s="10">
        <f t="shared" si="13"/>
        <v>4.0167095115681232E-3</v>
      </c>
      <c r="L85" s="16">
        <f t="shared" si="14"/>
        <v>248.96</v>
      </c>
      <c r="M85" s="17">
        <f t="shared" si="15"/>
        <v>0.83804627249357333</v>
      </c>
    </row>
    <row r="86" spans="1:13">
      <c r="A86" s="5">
        <v>10</v>
      </c>
      <c r="B86" s="5">
        <v>11</v>
      </c>
      <c r="C86" s="8">
        <v>191.4</v>
      </c>
      <c r="D86" s="11">
        <f t="shared" si="1"/>
        <v>5.2246603970741903E-3</v>
      </c>
      <c r="E86" s="8">
        <f t="shared" si="9"/>
        <v>30.27908615278421</v>
      </c>
      <c r="F86" s="8">
        <f>_xlfn.XLOOKUP(A86,'AYR RACE 7 - WIN'!B:B,'AYR RACE 7 - WIN'!D:D)</f>
        <v>17.5</v>
      </c>
      <c r="G86" s="8">
        <f>_xlfn.XLOOKUP(B86,'AYR RACE 7 - WIN'!B:B,'AYR RACE 7 - WIN'!D:D)</f>
        <v>28.8</v>
      </c>
      <c r="H86" s="8">
        <f t="shared" si="10"/>
        <v>5.7142857142857141E-2</v>
      </c>
      <c r="I86" s="8">
        <f t="shared" si="11"/>
        <v>3.4722222222222224E-2</v>
      </c>
      <c r="J86" s="8">
        <f t="shared" si="12"/>
        <v>0.94285714285714284</v>
      </c>
      <c r="K86" s="10">
        <f t="shared" si="13"/>
        <v>2.1043771043771043E-3</v>
      </c>
      <c r="L86" s="16">
        <f t="shared" si="14"/>
        <v>475.2</v>
      </c>
      <c r="M86" s="17">
        <f t="shared" si="15"/>
        <v>-0.59722222222222221</v>
      </c>
    </row>
    <row r="87" spans="1:13">
      <c r="A87" s="5">
        <v>11</v>
      </c>
      <c r="B87" s="5">
        <v>6</v>
      </c>
      <c r="C87" s="8">
        <v>322.89999999999998</v>
      </c>
      <c r="D87" s="11">
        <f t="shared" si="1"/>
        <v>3.0969340353050484E-3</v>
      </c>
      <c r="E87" s="8">
        <f t="shared" si="9"/>
        <v>17.948024433703615</v>
      </c>
      <c r="F87" s="8">
        <f>_xlfn.XLOOKUP(A87,'AYR RACE 7 - WIN'!B:B,'AYR RACE 7 - WIN'!D:D)</f>
        <v>28.8</v>
      </c>
      <c r="G87" s="8">
        <f>_xlfn.XLOOKUP(B87,'AYR RACE 7 - WIN'!B:B,'AYR RACE 7 - WIN'!D:D)</f>
        <v>48.1</v>
      </c>
      <c r="H87" s="8">
        <f t="shared" si="10"/>
        <v>3.4722222222222224E-2</v>
      </c>
      <c r="I87" s="8">
        <f t="shared" si="11"/>
        <v>2.0790020790020788E-2</v>
      </c>
      <c r="J87" s="8">
        <f t="shared" si="12"/>
        <v>0.96527777777777779</v>
      </c>
      <c r="K87" s="10">
        <f t="shared" si="13"/>
        <v>7.4784247446117941E-4</v>
      </c>
      <c r="L87" s="16">
        <f t="shared" si="14"/>
        <v>1337.18</v>
      </c>
      <c r="M87" s="17">
        <f t="shared" si="15"/>
        <v>-0.75852166499648521</v>
      </c>
    </row>
    <row r="88" spans="1:13">
      <c r="A88" s="5">
        <v>3</v>
      </c>
      <c r="B88" s="5">
        <v>5</v>
      </c>
      <c r="C88" s="8">
        <v>661.4</v>
      </c>
      <c r="D88" s="11">
        <f t="shared" si="1"/>
        <v>1.5119443604475356E-3</v>
      </c>
      <c r="E88" s="8">
        <f t="shared" si="9"/>
        <v>8.7623481851268483</v>
      </c>
      <c r="F88" s="8">
        <f>_xlfn.XLOOKUP(A88,'AYR RACE 7 - WIN'!B:B,'AYR RACE 7 - WIN'!D:D)</f>
        <v>8.6999999999999993</v>
      </c>
      <c r="G88" s="8">
        <f>_xlfn.XLOOKUP(B88,'AYR RACE 7 - WIN'!B:B,'AYR RACE 7 - WIN'!D:D)</f>
        <v>77.8</v>
      </c>
      <c r="H88" s="8">
        <f t="shared" si="10"/>
        <v>0.1149425287356322</v>
      </c>
      <c r="I88" s="8">
        <f t="shared" si="11"/>
        <v>1.2853470437017995E-2</v>
      </c>
      <c r="J88" s="8">
        <f t="shared" si="12"/>
        <v>0.88505747126436785</v>
      </c>
      <c r="K88" s="10">
        <f t="shared" si="13"/>
        <v>1.6692818749374019E-3</v>
      </c>
      <c r="L88" s="16">
        <f t="shared" si="14"/>
        <v>599.05999999999995</v>
      </c>
      <c r="M88" s="17">
        <f t="shared" si="15"/>
        <v>0.1040630320835978</v>
      </c>
    </row>
    <row r="89" spans="1:13">
      <c r="A89" s="5">
        <v>10</v>
      </c>
      <c r="B89" s="5">
        <v>5</v>
      </c>
      <c r="C89" s="8">
        <v>705.6</v>
      </c>
      <c r="D89" s="11">
        <f t="shared" si="1"/>
        <v>1.4172335600907029E-3</v>
      </c>
      <c r="E89" s="8">
        <f t="shared" si="9"/>
        <v>8.2134595941651032</v>
      </c>
      <c r="F89" s="8">
        <f>_xlfn.XLOOKUP(A89,'AYR RACE 7 - WIN'!B:B,'AYR RACE 7 - WIN'!D:D)</f>
        <v>17.5</v>
      </c>
      <c r="G89" s="8">
        <f>_xlfn.XLOOKUP(B89,'AYR RACE 7 - WIN'!B:B,'AYR RACE 7 - WIN'!D:D)</f>
        <v>77.8</v>
      </c>
      <c r="H89" s="8">
        <f t="shared" si="10"/>
        <v>5.7142857142857141E-2</v>
      </c>
      <c r="I89" s="8">
        <f t="shared" si="11"/>
        <v>1.2853470437017995E-2</v>
      </c>
      <c r="J89" s="8">
        <f t="shared" si="12"/>
        <v>0.94285714285714284</v>
      </c>
      <c r="K89" s="10">
        <f t="shared" si="13"/>
        <v>7.7899820830412084E-4</v>
      </c>
      <c r="L89" s="16">
        <f t="shared" si="14"/>
        <v>1283.7</v>
      </c>
      <c r="M89" s="17">
        <f t="shared" si="15"/>
        <v>-0.45033886422061231</v>
      </c>
    </row>
    <row r="90" spans="1:13">
      <c r="A90" s="5">
        <v>5</v>
      </c>
      <c r="B90" s="5">
        <v>3</v>
      </c>
      <c r="C90" s="8">
        <v>1196.9000000000001</v>
      </c>
      <c r="D90" s="11">
        <f t="shared" si="1"/>
        <v>8.3549168685771572E-4</v>
      </c>
      <c r="E90" s="8">
        <f t="shared" si="9"/>
        <v>4.8420228002697776</v>
      </c>
      <c r="F90" s="8">
        <f>_xlfn.XLOOKUP(A90,'AYR RACE 7 - WIN'!B:B,'AYR RACE 7 - WIN'!D:D)</f>
        <v>77.8</v>
      </c>
      <c r="G90" s="8">
        <f>_xlfn.XLOOKUP(B90,'AYR RACE 7 - WIN'!B:B,'AYR RACE 7 - WIN'!D:D)</f>
        <v>8.6999999999999993</v>
      </c>
      <c r="H90" s="8">
        <f t="shared" si="10"/>
        <v>1.2853470437017995E-2</v>
      </c>
      <c r="I90" s="8">
        <f t="shared" si="11"/>
        <v>0.1149425287356322</v>
      </c>
      <c r="J90" s="8">
        <f t="shared" si="12"/>
        <v>0.98714652956298199</v>
      </c>
      <c r="K90" s="10">
        <f t="shared" si="13"/>
        <v>1.4966475095785441E-3</v>
      </c>
      <c r="L90" s="16">
        <f t="shared" si="14"/>
        <v>668.16</v>
      </c>
      <c r="M90" s="17">
        <f t="shared" si="15"/>
        <v>0.79133740421455956</v>
      </c>
    </row>
    <row r="91" spans="1:13">
      <c r="A91" s="5">
        <v>11</v>
      </c>
      <c r="B91" s="5">
        <v>5</v>
      </c>
      <c r="C91" s="8">
        <v>1470.8</v>
      </c>
      <c r="D91" s="11">
        <f t="shared" si="1"/>
        <v>6.7990209409844987E-4</v>
      </c>
      <c r="E91" s="8">
        <f t="shared" si="9"/>
        <v>3.9403162154221496</v>
      </c>
      <c r="F91" s="8">
        <f>_xlfn.XLOOKUP(A91,'AYR RACE 7 - WIN'!B:B,'AYR RACE 7 - WIN'!D:D)</f>
        <v>28.8</v>
      </c>
      <c r="G91" s="8">
        <f>_xlfn.XLOOKUP(B91,'AYR RACE 7 - WIN'!B:B,'AYR RACE 7 - WIN'!D:D)</f>
        <v>77.8</v>
      </c>
      <c r="H91" s="8">
        <f t="shared" si="10"/>
        <v>3.4722222222222224E-2</v>
      </c>
      <c r="I91" s="8">
        <f t="shared" si="11"/>
        <v>1.2853470437017995E-2</v>
      </c>
      <c r="J91" s="8">
        <f t="shared" si="12"/>
        <v>0.96527777777777779</v>
      </c>
      <c r="K91" s="10">
        <f t="shared" si="13"/>
        <v>4.6235505169129481E-4</v>
      </c>
      <c r="L91" s="16">
        <f t="shared" si="14"/>
        <v>2162.8399999999997</v>
      </c>
      <c r="M91" s="17">
        <f t="shared" si="15"/>
        <v>-0.31996818997244358</v>
      </c>
    </row>
    <row r="92" spans="1:13">
      <c r="A92" s="5">
        <v>5</v>
      </c>
      <c r="B92" s="5">
        <v>6</v>
      </c>
      <c r="C92" s="8">
        <v>1242.2</v>
      </c>
      <c r="D92" s="11">
        <f t="shared" si="1"/>
        <v>8.0502334567702464E-4</v>
      </c>
      <c r="E92" s="8">
        <f t="shared" si="9"/>
        <v>4.6654460550981298</v>
      </c>
      <c r="F92" s="8">
        <f>_xlfn.XLOOKUP(A92,'AYR RACE 7 - WIN'!B:B,'AYR RACE 7 - WIN'!D:D)</f>
        <v>77.8</v>
      </c>
      <c r="G92" s="8">
        <f>_xlfn.XLOOKUP(B92,'AYR RACE 7 - WIN'!B:B,'AYR RACE 7 - WIN'!D:D)</f>
        <v>48.1</v>
      </c>
      <c r="H92" s="8">
        <f t="shared" si="10"/>
        <v>1.2853470437017995E-2</v>
      </c>
      <c r="I92" s="8">
        <f t="shared" si="11"/>
        <v>2.0790020790020788E-2</v>
      </c>
      <c r="J92" s="8">
        <f t="shared" si="12"/>
        <v>0.98714652956298199</v>
      </c>
      <c r="K92" s="10">
        <f t="shared" si="13"/>
        <v>2.7070339570339568E-4</v>
      </c>
      <c r="L92" s="16">
        <f t="shared" si="14"/>
        <v>3694.0800000000004</v>
      </c>
      <c r="M92" s="17">
        <f t="shared" si="15"/>
        <v>-0.66373224185724189</v>
      </c>
    </row>
    <row r="93" spans="1:13">
      <c r="A93" s="5">
        <v>5</v>
      </c>
      <c r="B93" s="5">
        <v>9</v>
      </c>
      <c r="C93" s="8">
        <v>2505.4</v>
      </c>
      <c r="D93" s="11">
        <f t="shared" si="1"/>
        <v>3.9913786221760996E-4</v>
      </c>
      <c r="E93" s="8">
        <f t="shared" si="9"/>
        <v>2.3131703878194689</v>
      </c>
      <c r="F93" s="8">
        <f>_xlfn.XLOOKUP(A93,'AYR RACE 7 - WIN'!B:B,'AYR RACE 7 - WIN'!D:D)</f>
        <v>77.8</v>
      </c>
      <c r="G93" s="8">
        <f>_xlfn.XLOOKUP(B93,'AYR RACE 7 - WIN'!B:B,'AYR RACE 7 - WIN'!D:D)</f>
        <v>19.8</v>
      </c>
      <c r="H93" s="8">
        <f t="shared" si="10"/>
        <v>1.2853470437017995E-2</v>
      </c>
      <c r="I93" s="8">
        <f t="shared" si="11"/>
        <v>5.0505050505050504E-2</v>
      </c>
      <c r="J93" s="8">
        <f t="shared" si="12"/>
        <v>0.98714652956298199</v>
      </c>
      <c r="K93" s="10">
        <f t="shared" si="13"/>
        <v>6.5761784511784516E-4</v>
      </c>
      <c r="L93" s="16">
        <f t="shared" si="14"/>
        <v>1520.6399999999999</v>
      </c>
      <c r="M93" s="17">
        <f t="shared" si="15"/>
        <v>0.64759574915824936</v>
      </c>
    </row>
    <row r="94" spans="1:13">
      <c r="A94" s="5">
        <v>6</v>
      </c>
      <c r="B94" s="5">
        <v>5</v>
      </c>
      <c r="C94" s="8">
        <v>1242.2</v>
      </c>
      <c r="D94" s="11">
        <f t="shared" si="1"/>
        <v>8.0502334567702464E-4</v>
      </c>
      <c r="E94" s="8">
        <f t="shared" si="9"/>
        <v>4.6654460550981298</v>
      </c>
      <c r="F94" s="8">
        <f>_xlfn.XLOOKUP(A94,'AYR RACE 7 - WIN'!B:B,'AYR RACE 7 - WIN'!D:D)</f>
        <v>48.1</v>
      </c>
      <c r="G94" s="8">
        <f>_xlfn.XLOOKUP(B94,'AYR RACE 7 - WIN'!B:B,'AYR RACE 7 - WIN'!D:D)</f>
        <v>77.8</v>
      </c>
      <c r="H94" s="8">
        <f t="shared" si="10"/>
        <v>2.0790020790020788E-2</v>
      </c>
      <c r="I94" s="8">
        <f t="shared" si="11"/>
        <v>1.2853470437017995E-2</v>
      </c>
      <c r="J94" s="8">
        <f t="shared" si="12"/>
        <v>0.97920997920997921</v>
      </c>
      <c r="K94" s="10">
        <f t="shared" si="13"/>
        <v>2.7289746150781306E-4</v>
      </c>
      <c r="L94" s="16">
        <f t="shared" si="14"/>
        <v>3664.38</v>
      </c>
      <c r="M94" s="17">
        <f t="shared" si="15"/>
        <v>-0.66100677331499469</v>
      </c>
    </row>
    <row r="95" spans="1:13">
      <c r="A95" s="5">
        <v>9</v>
      </c>
      <c r="B95" s="5">
        <v>5</v>
      </c>
      <c r="C95" s="8">
        <v>1007.3</v>
      </c>
      <c r="D95" s="11">
        <f t="shared" si="1"/>
        <v>9.9275290380224372E-4</v>
      </c>
      <c r="E95" s="8">
        <f t="shared" si="9"/>
        <v>5.7534171444881341</v>
      </c>
      <c r="F95" s="8">
        <f>_xlfn.XLOOKUP(A95,'AYR RACE 7 - WIN'!B:B,'AYR RACE 7 - WIN'!D:D)</f>
        <v>19.8</v>
      </c>
      <c r="G95" s="8">
        <f>_xlfn.XLOOKUP(B95,'AYR RACE 7 - WIN'!B:B,'AYR RACE 7 - WIN'!D:D)</f>
        <v>77.8</v>
      </c>
      <c r="H95" s="8">
        <f t="shared" si="10"/>
        <v>5.0505050505050504E-2</v>
      </c>
      <c r="I95" s="8">
        <f t="shared" si="11"/>
        <v>1.2853470437017995E-2</v>
      </c>
      <c r="J95" s="8">
        <f t="shared" si="12"/>
        <v>0.9494949494949495</v>
      </c>
      <c r="K95" s="10">
        <f t="shared" si="13"/>
        <v>6.8369523601159547E-4</v>
      </c>
      <c r="L95" s="16">
        <f t="shared" si="14"/>
        <v>1462.64</v>
      </c>
      <c r="M95" s="17">
        <f t="shared" si="15"/>
        <v>-0.31131378876551996</v>
      </c>
    </row>
    <row r="96" spans="1:13">
      <c r="A96" s="5">
        <v>5</v>
      </c>
      <c r="B96" s="5">
        <v>8</v>
      </c>
      <c r="C96" s="8">
        <v>741.9</v>
      </c>
      <c r="D96" s="11">
        <f t="shared" si="1"/>
        <v>1.3478905512872355E-3</v>
      </c>
      <c r="E96" s="8">
        <f t="shared" si="9"/>
        <v>7.8115879358982303</v>
      </c>
      <c r="F96" s="8">
        <f>_xlfn.XLOOKUP(A96,'AYR RACE 7 - WIN'!B:B,'AYR RACE 7 - WIN'!D:D)</f>
        <v>77.8</v>
      </c>
      <c r="G96" s="8">
        <f>_xlfn.XLOOKUP(B96,'AYR RACE 7 - WIN'!B:B,'AYR RACE 7 - WIN'!D:D)</f>
        <v>40.5</v>
      </c>
      <c r="H96" s="8">
        <f t="shared" si="10"/>
        <v>1.2853470437017995E-2</v>
      </c>
      <c r="I96" s="8">
        <f t="shared" si="11"/>
        <v>2.4691358024691357E-2</v>
      </c>
      <c r="J96" s="8">
        <f t="shared" si="12"/>
        <v>0.98714652956298199</v>
      </c>
      <c r="K96" s="10">
        <f t="shared" si="13"/>
        <v>3.2150205761316872E-4</v>
      </c>
      <c r="L96" s="16">
        <f t="shared" si="14"/>
        <v>3110.4</v>
      </c>
      <c r="M96" s="17">
        <f t="shared" si="15"/>
        <v>-0.76147762345679015</v>
      </c>
    </row>
    <row r="97" spans="1:13">
      <c r="A97" s="5">
        <v>8</v>
      </c>
      <c r="B97" s="5">
        <v>5</v>
      </c>
      <c r="C97" s="8">
        <v>1182.5</v>
      </c>
      <c r="D97" s="11">
        <f t="shared" si="1"/>
        <v>8.4566596194503166E-4</v>
      </c>
      <c r="E97" s="8">
        <f t="shared" si="9"/>
        <v>4.9009869679855367</v>
      </c>
      <c r="F97" s="8">
        <f>_xlfn.XLOOKUP(A97,'AYR RACE 7 - WIN'!B:B,'AYR RACE 7 - WIN'!D:D)</f>
        <v>40.5</v>
      </c>
      <c r="G97" s="8">
        <f>_xlfn.XLOOKUP(B97,'AYR RACE 7 - WIN'!B:B,'AYR RACE 7 - WIN'!D:D)</f>
        <v>77.8</v>
      </c>
      <c r="H97" s="8">
        <f t="shared" si="10"/>
        <v>2.4691358024691357E-2</v>
      </c>
      <c r="I97" s="8">
        <f t="shared" si="11"/>
        <v>1.2853470437017995E-2</v>
      </c>
      <c r="J97" s="8">
        <f t="shared" si="12"/>
        <v>0.97530864197530864</v>
      </c>
      <c r="K97" s="10">
        <f t="shared" si="13"/>
        <v>3.2540431486121507E-4</v>
      </c>
      <c r="L97" s="16">
        <f t="shared" si="14"/>
        <v>3073.1</v>
      </c>
      <c r="M97" s="17">
        <f t="shared" si="15"/>
        <v>-0.6152093976766132</v>
      </c>
    </row>
    <row r="98" spans="1:13">
      <c r="A98" s="5">
        <v>5</v>
      </c>
      <c r="B98" s="5">
        <v>10</v>
      </c>
      <c r="C98" s="8">
        <v>1296.7</v>
      </c>
      <c r="D98" s="11">
        <f t="shared" si="1"/>
        <v>7.7118840132644399E-4</v>
      </c>
      <c r="E98" s="8">
        <f t="shared" ref="E98:E129" si="16">IF(F98=0,0,($Q$2/(C98*$O$2)))</f>
        <v>4.4693584403816589</v>
      </c>
      <c r="F98" s="8">
        <f>_xlfn.XLOOKUP(A98,'AYR RACE 7 - WIN'!B:B,'AYR RACE 7 - WIN'!D:D)</f>
        <v>77.8</v>
      </c>
      <c r="G98" s="8">
        <f>_xlfn.XLOOKUP(B98,'AYR RACE 7 - WIN'!B:B,'AYR RACE 7 - WIN'!D:D)</f>
        <v>17.5</v>
      </c>
      <c r="H98" s="8">
        <f t="shared" si="10"/>
        <v>1.2853470437017995E-2</v>
      </c>
      <c r="I98" s="8">
        <f t="shared" si="11"/>
        <v>5.7142857142857141E-2</v>
      </c>
      <c r="J98" s="8">
        <f t="shared" si="12"/>
        <v>0.98714652956298199</v>
      </c>
      <c r="K98" s="10">
        <f t="shared" si="13"/>
        <v>7.4404761904761901E-4</v>
      </c>
      <c r="L98" s="16">
        <f t="shared" si="14"/>
        <v>1344</v>
      </c>
      <c r="M98" s="17">
        <f t="shared" si="15"/>
        <v>-3.5193452380952395E-2</v>
      </c>
    </row>
    <row r="99" spans="1:13">
      <c r="A99" s="5">
        <v>5</v>
      </c>
      <c r="B99" s="5">
        <v>11</v>
      </c>
      <c r="C99" s="8">
        <v>1734</v>
      </c>
      <c r="D99" s="11">
        <f t="shared" si="1"/>
        <v>5.7670126874279125E-4</v>
      </c>
      <c r="E99" s="8">
        <f t="shared" si="16"/>
        <v>3.3422243884907132</v>
      </c>
      <c r="F99" s="8">
        <f>_xlfn.XLOOKUP(A99,'AYR RACE 7 - WIN'!B:B,'AYR RACE 7 - WIN'!D:D)</f>
        <v>77.8</v>
      </c>
      <c r="G99" s="8">
        <f>_xlfn.XLOOKUP(B99,'AYR RACE 7 - WIN'!B:B,'AYR RACE 7 - WIN'!D:D)</f>
        <v>28.8</v>
      </c>
      <c r="H99" s="8">
        <f t="shared" si="10"/>
        <v>1.2853470437017995E-2</v>
      </c>
      <c r="I99" s="8">
        <f t="shared" si="11"/>
        <v>3.4722222222222224E-2</v>
      </c>
      <c r="J99" s="8">
        <f t="shared" si="12"/>
        <v>0.98714652956298199</v>
      </c>
      <c r="K99" s="10">
        <f t="shared" si="13"/>
        <v>4.5211226851851852E-4</v>
      </c>
      <c r="L99" s="16">
        <f t="shared" si="14"/>
        <v>2211.84</v>
      </c>
      <c r="M99" s="17">
        <f t="shared" si="15"/>
        <v>-0.21603732638888895</v>
      </c>
    </row>
    <row r="100" spans="1:13">
      <c r="D100" s="10"/>
    </row>
  </sheetData>
  <autoFilter ref="A1:M99" xr:uid="{3F66CFF3-06B5-4D56-8B26-0E5E818220D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6C7C-5078-4B25-B945-804A3CFC6B9B}">
  <dimension ref="A1:AA80"/>
  <sheetViews>
    <sheetView tabSelected="1" workbookViewId="0">
      <selection activeCell="G7" sqref="G7"/>
    </sheetView>
  </sheetViews>
  <sheetFormatPr defaultRowHeight="14.25"/>
  <cols>
    <col min="1" max="3" width="8.86328125" style="5" customWidth="1"/>
    <col min="4" max="4" width="9.6640625" style="8" customWidth="1"/>
    <col min="5" max="5" width="9.265625" style="8" customWidth="1"/>
    <col min="6" max="6" width="9.53125" style="8" customWidth="1"/>
    <col min="7" max="14" width="9.1328125" style="8" customWidth="1"/>
    <col min="15" max="16" width="11" style="8" customWidth="1"/>
    <col min="17" max="17" width="9.1328125" style="8" customWidth="1"/>
    <col min="18" max="18" width="2.53125" customWidth="1"/>
    <col min="19" max="19" width="8.796875" customWidth="1"/>
    <col min="20" max="20" width="14.265625" customWidth="1"/>
    <col min="21" max="25" width="14.19921875" style="4" customWidth="1"/>
    <col min="26" max="26" width="14.19921875" style="5" customWidth="1"/>
    <col min="27" max="27" width="14.19921875" style="4" customWidth="1"/>
  </cols>
  <sheetData>
    <row r="1" spans="1:27" ht="42" customHeight="1">
      <c r="A1" s="3" t="s">
        <v>12</v>
      </c>
      <c r="B1" s="3" t="s">
        <v>13</v>
      </c>
      <c r="C1" s="3" t="s">
        <v>42</v>
      </c>
      <c r="D1" s="7" t="s">
        <v>49</v>
      </c>
      <c r="E1" s="7" t="s">
        <v>11</v>
      </c>
      <c r="F1" s="6" t="s">
        <v>10</v>
      </c>
      <c r="G1" s="6" t="s">
        <v>14</v>
      </c>
      <c r="H1" s="6" t="s">
        <v>15</v>
      </c>
      <c r="I1" s="6" t="s">
        <v>43</v>
      </c>
      <c r="J1" s="6" t="s">
        <v>44</v>
      </c>
      <c r="K1" s="6" t="s">
        <v>45</v>
      </c>
      <c r="L1" s="6" t="s">
        <v>50</v>
      </c>
      <c r="M1" s="6" t="s">
        <v>46</v>
      </c>
      <c r="N1" s="6" t="s">
        <v>51</v>
      </c>
      <c r="O1" s="6" t="s">
        <v>52</v>
      </c>
      <c r="P1" s="6" t="s">
        <v>53</v>
      </c>
      <c r="Q1" s="6" t="s">
        <v>17</v>
      </c>
      <c r="R1" s="1"/>
      <c r="S1" s="3" t="s">
        <v>40</v>
      </c>
      <c r="T1" s="3" t="s">
        <v>41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3" t="s">
        <v>5</v>
      </c>
      <c r="AA1" s="2" t="s">
        <v>7</v>
      </c>
    </row>
    <row r="2" spans="1:27">
      <c r="A2" s="12">
        <v>4</v>
      </c>
      <c r="B2" s="12">
        <v>2</v>
      </c>
      <c r="C2" s="12">
        <v>7</v>
      </c>
      <c r="D2" s="8">
        <v>25.2</v>
      </c>
      <c r="E2" s="11">
        <f>1/D2</f>
        <v>3.968253968253968E-2</v>
      </c>
      <c r="F2" s="8">
        <f t="shared" ref="F2:F47" si="0">($U$2/(D2*$S$2))</f>
        <v>467.44351113161929</v>
      </c>
      <c r="G2" s="8">
        <f>_xlfn.XLOOKUP(A2,'AYR RACE 7 - WIN'!B:B,'AYR RACE 7 - WIN'!D:D)</f>
        <v>2.4</v>
      </c>
      <c r="H2" s="8">
        <f>_xlfn.XLOOKUP(B2,'AYR RACE 7 - WIN'!B:B,'AYR RACE 7 - WIN'!D:D)</f>
        <v>3.6</v>
      </c>
      <c r="I2" s="8">
        <f>_xlfn.XLOOKUP(C2,'AYR RACE 7 - WIN'!B:B,'AYR RACE 7 - WIN'!D:D)</f>
        <v>4.2</v>
      </c>
      <c r="J2" s="8">
        <f>1/G2</f>
        <v>0.41666666666666669</v>
      </c>
      <c r="K2" s="8">
        <f t="shared" ref="K2:L2" si="1">1/H2</f>
        <v>0.27777777777777779</v>
      </c>
      <c r="L2" s="8">
        <f t="shared" si="1"/>
        <v>0.23809523809523808</v>
      </c>
      <c r="M2" s="8">
        <f>1-J2</f>
        <v>0.58333333333333326</v>
      </c>
      <c r="N2" s="8">
        <f>1-J2-K2</f>
        <v>0.30555555555555547</v>
      </c>
      <c r="O2" s="8">
        <f>J2*(K2/M2)*(L2/N2)</f>
        <v>0.15460729746444038</v>
      </c>
      <c r="P2" s="8">
        <f>1/O2</f>
        <v>6.4679999999999973</v>
      </c>
      <c r="Q2" s="10">
        <f>IFERROR(D2/P2-1,0)</f>
        <v>2.8961038961038974</v>
      </c>
      <c r="S2" s="11">
        <f>SUM(E:E)</f>
        <v>0.56360854831927909</v>
      </c>
      <c r="T2" s="15">
        <f>SUM(F:F)</f>
        <v>6639.0699999999961</v>
      </c>
      <c r="U2" s="4">
        <v>6639.07</v>
      </c>
      <c r="V2" s="4">
        <v>4979.3100000000004</v>
      </c>
      <c r="W2" s="4">
        <v>0</v>
      </c>
      <c r="X2" s="4">
        <v>0</v>
      </c>
      <c r="Y2" s="4">
        <v>0</v>
      </c>
      <c r="Z2" s="5" t="s">
        <v>6</v>
      </c>
      <c r="AA2" s="4">
        <v>68.599999999999994</v>
      </c>
    </row>
    <row r="3" spans="1:27">
      <c r="A3" s="5">
        <v>4</v>
      </c>
      <c r="B3" s="5">
        <v>7</v>
      </c>
      <c r="C3" s="5">
        <v>2</v>
      </c>
      <c r="D3" s="8">
        <v>27.9</v>
      </c>
      <c r="E3" s="11">
        <f t="shared" ref="E3:E47" si="2">1/D3</f>
        <v>3.5842293906810041E-2</v>
      </c>
      <c r="F3" s="8">
        <f t="shared" si="0"/>
        <v>422.2070423124303</v>
      </c>
      <c r="G3" s="8">
        <f>_xlfn.XLOOKUP(A3,'AYR RACE 7 - WIN'!B:B,'AYR RACE 7 - WIN'!D:D)</f>
        <v>2.4</v>
      </c>
      <c r="H3" s="8">
        <f>_xlfn.XLOOKUP(B3,'AYR RACE 7 - WIN'!B:B,'AYR RACE 7 - WIN'!D:D)</f>
        <v>4.2</v>
      </c>
      <c r="I3" s="8">
        <f>_xlfn.XLOOKUP(C3,'AYR RACE 7 - WIN'!B:B,'AYR RACE 7 - WIN'!D:D)</f>
        <v>3.6</v>
      </c>
      <c r="J3" s="8">
        <f t="shared" ref="J3:J47" si="3">1/G3</f>
        <v>0.41666666666666669</v>
      </c>
      <c r="K3" s="8">
        <f t="shared" ref="K3:K47" si="4">1/H3</f>
        <v>0.23809523809523808</v>
      </c>
      <c r="L3" s="8">
        <f t="shared" ref="L3:L47" si="5">1/I3</f>
        <v>0.27777777777777779</v>
      </c>
      <c r="M3" s="8">
        <f t="shared" ref="M3:M47" si="6">1-J3</f>
        <v>0.58333333333333326</v>
      </c>
      <c r="N3" s="8">
        <f t="shared" ref="N3:N47" si="7">1-J3-K3</f>
        <v>0.34523809523809518</v>
      </c>
      <c r="O3" s="8">
        <f t="shared" ref="O3:O47" si="8">J3*(K3/M3)*(L3/N3)</f>
        <v>0.13683634373289549</v>
      </c>
      <c r="P3" s="8">
        <f t="shared" ref="P3:P47" si="9">1/O3</f>
        <v>7.3079999999999981</v>
      </c>
      <c r="Q3" s="10">
        <f t="shared" ref="Q3:Q47" si="10">IFERROR(D3/P3-1,0)</f>
        <v>2.8177339901477843</v>
      </c>
    </row>
    <row r="4" spans="1:27">
      <c r="A4" s="5">
        <v>2</v>
      </c>
      <c r="B4" s="5">
        <v>4</v>
      </c>
      <c r="C4" s="5">
        <v>7</v>
      </c>
      <c r="D4" s="8">
        <v>32</v>
      </c>
      <c r="E4" s="11">
        <f t="shared" si="2"/>
        <v>3.125E-2</v>
      </c>
      <c r="F4" s="8">
        <f t="shared" si="0"/>
        <v>368.11176501615017</v>
      </c>
      <c r="G4" s="8">
        <f>_xlfn.XLOOKUP(A4,'AYR RACE 7 - WIN'!B:B,'AYR RACE 7 - WIN'!D:D)</f>
        <v>3.6</v>
      </c>
      <c r="H4" s="8">
        <f>_xlfn.XLOOKUP(B4,'AYR RACE 7 - WIN'!B:B,'AYR RACE 7 - WIN'!D:D)</f>
        <v>2.4</v>
      </c>
      <c r="I4" s="8">
        <f>_xlfn.XLOOKUP(C4,'AYR RACE 7 - WIN'!B:B,'AYR RACE 7 - WIN'!D:D)</f>
        <v>4.2</v>
      </c>
      <c r="J4" s="8">
        <f t="shared" si="3"/>
        <v>0.27777777777777779</v>
      </c>
      <c r="K4" s="8">
        <f t="shared" si="4"/>
        <v>0.41666666666666669</v>
      </c>
      <c r="L4" s="8">
        <f t="shared" si="5"/>
        <v>0.23809523809523808</v>
      </c>
      <c r="M4" s="8">
        <f t="shared" si="6"/>
        <v>0.72222222222222221</v>
      </c>
      <c r="N4" s="8">
        <f t="shared" si="7"/>
        <v>0.30555555555555552</v>
      </c>
      <c r="O4" s="8">
        <f t="shared" si="8"/>
        <v>0.12487512487512489</v>
      </c>
      <c r="P4" s="8">
        <f t="shared" si="9"/>
        <v>8.0079999999999991</v>
      </c>
      <c r="Q4" s="10">
        <f t="shared" si="10"/>
        <v>2.9960039960039966</v>
      </c>
    </row>
    <row r="5" spans="1:27">
      <c r="A5" s="5">
        <v>4</v>
      </c>
      <c r="B5" s="5">
        <v>2</v>
      </c>
      <c r="C5" s="5">
        <v>3</v>
      </c>
      <c r="D5" s="8">
        <v>33</v>
      </c>
      <c r="E5" s="11">
        <f t="shared" si="2"/>
        <v>3.0303030303030304E-2</v>
      </c>
      <c r="F5" s="8">
        <f t="shared" si="0"/>
        <v>356.95686304596381</v>
      </c>
      <c r="G5" s="8">
        <f>_xlfn.XLOOKUP(A5,'AYR RACE 7 - WIN'!B:B,'AYR RACE 7 - WIN'!D:D)</f>
        <v>2.4</v>
      </c>
      <c r="H5" s="8">
        <f>_xlfn.XLOOKUP(B5,'AYR RACE 7 - WIN'!B:B,'AYR RACE 7 - WIN'!D:D)</f>
        <v>3.6</v>
      </c>
      <c r="I5" s="8">
        <f>_xlfn.XLOOKUP(C5,'AYR RACE 7 - WIN'!B:B,'AYR RACE 7 - WIN'!D:D)</f>
        <v>8.6999999999999993</v>
      </c>
      <c r="J5" s="8">
        <f t="shared" si="3"/>
        <v>0.41666666666666669</v>
      </c>
      <c r="K5" s="8">
        <f t="shared" si="4"/>
        <v>0.27777777777777779</v>
      </c>
      <c r="L5" s="8">
        <f t="shared" si="5"/>
        <v>0.1149425287356322</v>
      </c>
      <c r="M5" s="8">
        <f t="shared" si="6"/>
        <v>0.58333333333333326</v>
      </c>
      <c r="N5" s="8">
        <f t="shared" si="7"/>
        <v>0.30555555555555547</v>
      </c>
      <c r="O5" s="8">
        <f t="shared" si="8"/>
        <v>7.4638005672488475E-2</v>
      </c>
      <c r="P5" s="8">
        <f t="shared" si="9"/>
        <v>13.397999999999993</v>
      </c>
      <c r="Q5" s="10">
        <f t="shared" si="10"/>
        <v>1.4630541871921197</v>
      </c>
    </row>
    <row r="6" spans="1:27">
      <c r="A6" s="5">
        <v>4</v>
      </c>
      <c r="B6" s="5">
        <v>7</v>
      </c>
      <c r="C6" s="5">
        <v>3</v>
      </c>
      <c r="D6" s="8">
        <v>36.1</v>
      </c>
      <c r="E6" s="11">
        <f t="shared" si="2"/>
        <v>2.7700831024930747E-2</v>
      </c>
      <c r="F6" s="8">
        <f t="shared" si="0"/>
        <v>326.30405763204448</v>
      </c>
      <c r="G6" s="8">
        <f>_xlfn.XLOOKUP(A6,'AYR RACE 7 - WIN'!B:B,'AYR RACE 7 - WIN'!D:D)</f>
        <v>2.4</v>
      </c>
      <c r="H6" s="8">
        <f>_xlfn.XLOOKUP(B6,'AYR RACE 7 - WIN'!B:B,'AYR RACE 7 - WIN'!D:D)</f>
        <v>4.2</v>
      </c>
      <c r="I6" s="8">
        <f>_xlfn.XLOOKUP(C6,'AYR RACE 7 - WIN'!B:B,'AYR RACE 7 - WIN'!D:D)</f>
        <v>8.6999999999999993</v>
      </c>
      <c r="J6" s="8">
        <f t="shared" si="3"/>
        <v>0.41666666666666669</v>
      </c>
      <c r="K6" s="8">
        <f t="shared" si="4"/>
        <v>0.23809523809523808</v>
      </c>
      <c r="L6" s="8">
        <f t="shared" si="5"/>
        <v>0.1149425287356322</v>
      </c>
      <c r="M6" s="8">
        <f t="shared" si="6"/>
        <v>0.58333333333333326</v>
      </c>
      <c r="N6" s="8">
        <f t="shared" si="7"/>
        <v>0.34523809523809518</v>
      </c>
      <c r="O6" s="8">
        <f t="shared" si="8"/>
        <v>5.6621935337749868E-2</v>
      </c>
      <c r="P6" s="8">
        <f t="shared" si="9"/>
        <v>17.660999999999994</v>
      </c>
      <c r="Q6" s="10">
        <f t="shared" si="10"/>
        <v>1.04405186569277</v>
      </c>
    </row>
    <row r="7" spans="1:27">
      <c r="A7" s="5">
        <v>4</v>
      </c>
      <c r="B7" s="5">
        <v>3</v>
      </c>
      <c r="C7" s="5">
        <v>2</v>
      </c>
      <c r="D7" s="8">
        <v>37.700000000000003</v>
      </c>
      <c r="E7" s="11">
        <f t="shared" si="2"/>
        <v>2.652519893899204E-2</v>
      </c>
      <c r="F7" s="8">
        <f t="shared" si="0"/>
        <v>312.45560956277996</v>
      </c>
      <c r="G7" s="8">
        <f>_xlfn.XLOOKUP(A7,'AYR RACE 7 - WIN'!B:B,'AYR RACE 7 - WIN'!D:D)</f>
        <v>2.4</v>
      </c>
      <c r="H7" s="8">
        <f>_xlfn.XLOOKUP(B7,'AYR RACE 7 - WIN'!B:B,'AYR RACE 7 - WIN'!D:D)</f>
        <v>8.6999999999999993</v>
      </c>
      <c r="I7" s="8">
        <f>_xlfn.XLOOKUP(C7,'AYR RACE 7 - WIN'!B:B,'AYR RACE 7 - WIN'!D:D)</f>
        <v>3.6</v>
      </c>
      <c r="J7" s="8">
        <f t="shared" si="3"/>
        <v>0.41666666666666669</v>
      </c>
      <c r="K7" s="8">
        <f t="shared" si="4"/>
        <v>0.1149425287356322</v>
      </c>
      <c r="L7" s="8">
        <f t="shared" si="5"/>
        <v>0.27777777777777779</v>
      </c>
      <c r="M7" s="8">
        <f t="shared" si="6"/>
        <v>0.58333333333333326</v>
      </c>
      <c r="N7" s="8">
        <f t="shared" si="7"/>
        <v>0.46839080459770105</v>
      </c>
      <c r="O7" s="8">
        <f t="shared" si="8"/>
        <v>4.8690232739312521E-2</v>
      </c>
      <c r="P7" s="8">
        <f t="shared" si="9"/>
        <v>20.53799999999999</v>
      </c>
      <c r="Q7" s="10">
        <f t="shared" si="10"/>
        <v>0.83562177427208217</v>
      </c>
    </row>
    <row r="8" spans="1:27">
      <c r="A8" s="5">
        <v>7</v>
      </c>
      <c r="B8" s="5">
        <v>4</v>
      </c>
      <c r="C8" s="5">
        <v>2</v>
      </c>
      <c r="D8" s="8">
        <v>40.5</v>
      </c>
      <c r="E8" s="11">
        <f t="shared" si="2"/>
        <v>2.4691358024691357E-2</v>
      </c>
      <c r="F8" s="8">
        <f t="shared" si="0"/>
        <v>290.85374025967423</v>
      </c>
      <c r="G8" s="8">
        <f>_xlfn.XLOOKUP(A8,'AYR RACE 7 - WIN'!B:B,'AYR RACE 7 - WIN'!D:D)</f>
        <v>4.2</v>
      </c>
      <c r="H8" s="8">
        <f>_xlfn.XLOOKUP(B8,'AYR RACE 7 - WIN'!B:B,'AYR RACE 7 - WIN'!D:D)</f>
        <v>2.4</v>
      </c>
      <c r="I8" s="8">
        <f>_xlfn.XLOOKUP(C8,'AYR RACE 7 - WIN'!B:B,'AYR RACE 7 - WIN'!D:D)</f>
        <v>3.6</v>
      </c>
      <c r="J8" s="8">
        <f t="shared" si="3"/>
        <v>0.23809523809523808</v>
      </c>
      <c r="K8" s="8">
        <f t="shared" si="4"/>
        <v>0.41666666666666669</v>
      </c>
      <c r="L8" s="8">
        <f t="shared" si="5"/>
        <v>0.27777777777777779</v>
      </c>
      <c r="M8" s="8">
        <f t="shared" si="6"/>
        <v>0.76190476190476186</v>
      </c>
      <c r="N8" s="8">
        <f t="shared" si="7"/>
        <v>0.34523809523809518</v>
      </c>
      <c r="O8" s="8">
        <f t="shared" si="8"/>
        <v>0.10476532567049808</v>
      </c>
      <c r="P8" s="8">
        <f t="shared" si="9"/>
        <v>9.5451428571428583</v>
      </c>
      <c r="Q8" s="10">
        <f t="shared" si="10"/>
        <v>3.2429956896551717</v>
      </c>
    </row>
    <row r="9" spans="1:27">
      <c r="A9" s="5">
        <v>2</v>
      </c>
      <c r="B9" s="5">
        <v>4</v>
      </c>
      <c r="C9" s="5">
        <v>3</v>
      </c>
      <c r="D9" s="8">
        <v>40.6</v>
      </c>
      <c r="E9" s="11">
        <f t="shared" si="2"/>
        <v>2.463054187192118E-2</v>
      </c>
      <c r="F9" s="8">
        <f t="shared" si="0"/>
        <v>290.13735173686717</v>
      </c>
      <c r="G9" s="8">
        <f>_xlfn.XLOOKUP(A9,'AYR RACE 7 - WIN'!B:B,'AYR RACE 7 - WIN'!D:D)</f>
        <v>3.6</v>
      </c>
      <c r="H9" s="8">
        <f>_xlfn.XLOOKUP(B9,'AYR RACE 7 - WIN'!B:B,'AYR RACE 7 - WIN'!D:D)</f>
        <v>2.4</v>
      </c>
      <c r="I9" s="8">
        <f>_xlfn.XLOOKUP(C9,'AYR RACE 7 - WIN'!B:B,'AYR RACE 7 - WIN'!D:D)</f>
        <v>8.6999999999999993</v>
      </c>
      <c r="J9" s="8">
        <f t="shared" si="3"/>
        <v>0.27777777777777779</v>
      </c>
      <c r="K9" s="8">
        <f t="shared" si="4"/>
        <v>0.41666666666666669</v>
      </c>
      <c r="L9" s="8">
        <f t="shared" si="5"/>
        <v>0.1149425287356322</v>
      </c>
      <c r="M9" s="8">
        <f t="shared" si="6"/>
        <v>0.72222222222222221</v>
      </c>
      <c r="N9" s="8">
        <f t="shared" si="7"/>
        <v>0.30555555555555552</v>
      </c>
      <c r="O9" s="8">
        <f t="shared" si="8"/>
        <v>6.0284543043163753E-2</v>
      </c>
      <c r="P9" s="8">
        <f t="shared" si="9"/>
        <v>16.587999999999994</v>
      </c>
      <c r="Q9" s="10">
        <f t="shared" si="10"/>
        <v>1.4475524475524484</v>
      </c>
    </row>
    <row r="10" spans="1:27">
      <c r="A10" s="5">
        <v>2</v>
      </c>
      <c r="B10" s="5">
        <v>7</v>
      </c>
      <c r="C10" s="5">
        <v>4</v>
      </c>
      <c r="D10" s="8">
        <v>42.1</v>
      </c>
      <c r="E10" s="11">
        <f t="shared" si="2"/>
        <v>2.3752969121140142E-2</v>
      </c>
      <c r="F10" s="8">
        <f t="shared" si="0"/>
        <v>279.79991640182436</v>
      </c>
      <c r="G10" s="8">
        <f>_xlfn.XLOOKUP(A10,'AYR RACE 7 - WIN'!B:B,'AYR RACE 7 - WIN'!D:D)</f>
        <v>3.6</v>
      </c>
      <c r="H10" s="8">
        <f>_xlfn.XLOOKUP(B10,'AYR RACE 7 - WIN'!B:B,'AYR RACE 7 - WIN'!D:D)</f>
        <v>4.2</v>
      </c>
      <c r="I10" s="8">
        <f>_xlfn.XLOOKUP(C10,'AYR RACE 7 - WIN'!B:B,'AYR RACE 7 - WIN'!D:D)</f>
        <v>2.4</v>
      </c>
      <c r="J10" s="8">
        <f t="shared" si="3"/>
        <v>0.27777777777777779</v>
      </c>
      <c r="K10" s="8">
        <f t="shared" si="4"/>
        <v>0.23809523809523808</v>
      </c>
      <c r="L10" s="8">
        <f t="shared" si="5"/>
        <v>0.41666666666666669</v>
      </c>
      <c r="M10" s="8">
        <f t="shared" si="6"/>
        <v>0.72222222222222221</v>
      </c>
      <c r="N10" s="8">
        <f t="shared" si="7"/>
        <v>0.48412698412698413</v>
      </c>
      <c r="O10" s="8">
        <f t="shared" si="8"/>
        <v>7.881462799495588E-2</v>
      </c>
      <c r="P10" s="8">
        <f t="shared" si="9"/>
        <v>12.687999999999997</v>
      </c>
      <c r="Q10" s="10">
        <f t="shared" si="10"/>
        <v>2.3180958385876429</v>
      </c>
    </row>
    <row r="11" spans="1:27">
      <c r="A11" s="5">
        <v>7</v>
      </c>
      <c r="B11" s="5">
        <v>2</v>
      </c>
      <c r="C11" s="5">
        <v>4</v>
      </c>
      <c r="D11" s="8">
        <v>46.9</v>
      </c>
      <c r="E11" s="11">
        <f t="shared" si="2"/>
        <v>2.1321961620469083E-2</v>
      </c>
      <c r="F11" s="8">
        <f t="shared" si="0"/>
        <v>251.16367762295963</v>
      </c>
      <c r="G11" s="8">
        <f>_xlfn.XLOOKUP(A11,'AYR RACE 7 - WIN'!B:B,'AYR RACE 7 - WIN'!D:D)</f>
        <v>4.2</v>
      </c>
      <c r="H11" s="8">
        <f>_xlfn.XLOOKUP(B11,'AYR RACE 7 - WIN'!B:B,'AYR RACE 7 - WIN'!D:D)</f>
        <v>3.6</v>
      </c>
      <c r="I11" s="8">
        <f>_xlfn.XLOOKUP(C11,'AYR RACE 7 - WIN'!B:B,'AYR RACE 7 - WIN'!D:D)</f>
        <v>2.4</v>
      </c>
      <c r="J11" s="8">
        <f t="shared" si="3"/>
        <v>0.23809523809523808</v>
      </c>
      <c r="K11" s="8">
        <f t="shared" si="4"/>
        <v>0.27777777777777779</v>
      </c>
      <c r="L11" s="8">
        <f t="shared" si="5"/>
        <v>0.41666666666666669</v>
      </c>
      <c r="M11" s="8">
        <f t="shared" si="6"/>
        <v>0.76190476190476186</v>
      </c>
      <c r="N11" s="8">
        <f t="shared" si="7"/>
        <v>0.48412698412698407</v>
      </c>
      <c r="O11" s="8">
        <f t="shared" si="8"/>
        <v>7.4709699453551937E-2</v>
      </c>
      <c r="P11" s="8">
        <f t="shared" si="9"/>
        <v>13.385142857142853</v>
      </c>
      <c r="Q11" s="10">
        <f t="shared" si="10"/>
        <v>2.5038849043715858</v>
      </c>
    </row>
    <row r="12" spans="1:27">
      <c r="A12" s="5">
        <v>4</v>
      </c>
      <c r="B12" s="5">
        <v>3</v>
      </c>
      <c r="C12" s="5">
        <v>7</v>
      </c>
      <c r="D12" s="8">
        <v>47.1</v>
      </c>
      <c r="E12" s="11">
        <f t="shared" si="2"/>
        <v>2.1231422505307854E-2</v>
      </c>
      <c r="F12" s="8">
        <f t="shared" si="0"/>
        <v>250.09716519143959</v>
      </c>
      <c r="G12" s="8">
        <f>_xlfn.XLOOKUP(A12,'AYR RACE 7 - WIN'!B:B,'AYR RACE 7 - WIN'!D:D)</f>
        <v>2.4</v>
      </c>
      <c r="H12" s="8">
        <f>_xlfn.XLOOKUP(B12,'AYR RACE 7 - WIN'!B:B,'AYR RACE 7 - WIN'!D:D)</f>
        <v>8.6999999999999993</v>
      </c>
      <c r="I12" s="8">
        <f>_xlfn.XLOOKUP(C12,'AYR RACE 7 - WIN'!B:B,'AYR RACE 7 - WIN'!D:D)</f>
        <v>4.2</v>
      </c>
      <c r="J12" s="8">
        <f t="shared" si="3"/>
        <v>0.41666666666666669</v>
      </c>
      <c r="K12" s="8">
        <f t="shared" si="4"/>
        <v>0.1149425287356322</v>
      </c>
      <c r="L12" s="8">
        <f t="shared" si="5"/>
        <v>0.23809523809523808</v>
      </c>
      <c r="M12" s="8">
        <f t="shared" si="6"/>
        <v>0.58333333333333326</v>
      </c>
      <c r="N12" s="8">
        <f t="shared" si="7"/>
        <v>0.46839080459770105</v>
      </c>
      <c r="O12" s="8">
        <f t="shared" si="8"/>
        <v>4.1734485205125016E-2</v>
      </c>
      <c r="P12" s="8">
        <f t="shared" si="9"/>
        <v>23.960999999999988</v>
      </c>
      <c r="Q12" s="10">
        <f t="shared" si="10"/>
        <v>0.96569425316138835</v>
      </c>
    </row>
    <row r="13" spans="1:27">
      <c r="A13" s="5">
        <v>7</v>
      </c>
      <c r="B13" s="5">
        <v>4</v>
      </c>
      <c r="C13" s="5">
        <v>3</v>
      </c>
      <c r="D13" s="8">
        <v>49.7</v>
      </c>
      <c r="E13" s="11">
        <f t="shared" si="2"/>
        <v>2.0120724346076459E-2</v>
      </c>
      <c r="F13" s="8">
        <f t="shared" si="0"/>
        <v>237.01361127800411</v>
      </c>
      <c r="G13" s="8">
        <f>_xlfn.XLOOKUP(A13,'AYR RACE 7 - WIN'!B:B,'AYR RACE 7 - WIN'!D:D)</f>
        <v>4.2</v>
      </c>
      <c r="H13" s="8">
        <f>_xlfn.XLOOKUP(B13,'AYR RACE 7 - WIN'!B:B,'AYR RACE 7 - WIN'!D:D)</f>
        <v>2.4</v>
      </c>
      <c r="I13" s="8">
        <f>_xlfn.XLOOKUP(C13,'AYR RACE 7 - WIN'!B:B,'AYR RACE 7 - WIN'!D:D)</f>
        <v>8.6999999999999993</v>
      </c>
      <c r="J13" s="8">
        <f t="shared" si="3"/>
        <v>0.23809523809523808</v>
      </c>
      <c r="K13" s="8">
        <f t="shared" si="4"/>
        <v>0.41666666666666669</v>
      </c>
      <c r="L13" s="8">
        <f t="shared" si="5"/>
        <v>0.1149425287356322</v>
      </c>
      <c r="M13" s="8">
        <f t="shared" si="6"/>
        <v>0.76190476190476186</v>
      </c>
      <c r="N13" s="8">
        <f t="shared" si="7"/>
        <v>0.34523809523809518</v>
      </c>
      <c r="O13" s="8">
        <f t="shared" si="8"/>
        <v>4.3351169242964734E-2</v>
      </c>
      <c r="P13" s="8">
        <f t="shared" si="9"/>
        <v>23.067428571428568</v>
      </c>
      <c r="Q13" s="10">
        <f t="shared" si="10"/>
        <v>1.1545531113753471</v>
      </c>
    </row>
    <row r="14" spans="1:27">
      <c r="A14" s="5">
        <v>2</v>
      </c>
      <c r="B14" s="5">
        <v>3</v>
      </c>
      <c r="C14" s="5">
        <v>4</v>
      </c>
      <c r="D14" s="14">
        <v>57.2</v>
      </c>
      <c r="E14" s="13">
        <f t="shared" si="2"/>
        <v>1.748251748251748E-2</v>
      </c>
      <c r="F14" s="8">
        <f t="shared" si="0"/>
        <v>205.9366517572868</v>
      </c>
      <c r="G14" s="14">
        <f>_xlfn.XLOOKUP(A14,'AYR RACE 7 - WIN'!B:B,'AYR RACE 7 - WIN'!D:D)</f>
        <v>3.6</v>
      </c>
      <c r="H14" s="14">
        <f>_xlfn.XLOOKUP(B14,'AYR RACE 7 - WIN'!B:B,'AYR RACE 7 - WIN'!D:D)</f>
        <v>8.6999999999999993</v>
      </c>
      <c r="I14" s="8">
        <f>_xlfn.XLOOKUP(C14,'AYR RACE 7 - WIN'!B:B,'AYR RACE 7 - WIN'!D:D)</f>
        <v>2.4</v>
      </c>
      <c r="J14" s="8">
        <f t="shared" si="3"/>
        <v>0.27777777777777779</v>
      </c>
      <c r="K14" s="8">
        <f t="shared" si="4"/>
        <v>0.1149425287356322</v>
      </c>
      <c r="L14" s="8">
        <f t="shared" si="5"/>
        <v>0.41666666666666669</v>
      </c>
      <c r="M14" s="8">
        <f t="shared" si="6"/>
        <v>0.72222222222222221</v>
      </c>
      <c r="N14" s="8">
        <f t="shared" si="7"/>
        <v>0.60727969348659006</v>
      </c>
      <c r="O14" s="8">
        <f t="shared" si="8"/>
        <v>3.0332443581654947E-2</v>
      </c>
      <c r="P14" s="8">
        <f t="shared" si="9"/>
        <v>32.967999999999989</v>
      </c>
      <c r="Q14" s="10">
        <f t="shared" si="10"/>
        <v>0.73501577287066322</v>
      </c>
    </row>
    <row r="15" spans="1:27">
      <c r="A15" s="5">
        <v>4</v>
      </c>
      <c r="B15" s="5">
        <v>2</v>
      </c>
      <c r="C15" s="5">
        <v>10</v>
      </c>
      <c r="D15" s="8">
        <v>61.9</v>
      </c>
      <c r="E15" s="11">
        <f t="shared" si="2"/>
        <v>1.6155088852988692E-2</v>
      </c>
      <c r="F15" s="8">
        <f t="shared" si="0"/>
        <v>190.30010469332484</v>
      </c>
      <c r="G15" s="8">
        <f>_xlfn.XLOOKUP(A15,'AYR RACE 7 - WIN'!B:B,'AYR RACE 7 - WIN'!D:D)</f>
        <v>2.4</v>
      </c>
      <c r="H15" s="8">
        <f>_xlfn.XLOOKUP(B15,'AYR RACE 7 - WIN'!B:B,'AYR RACE 7 - WIN'!D:D)</f>
        <v>3.6</v>
      </c>
      <c r="I15" s="8">
        <f>_xlfn.XLOOKUP(C15,'AYR RACE 7 - WIN'!B:B,'AYR RACE 7 - WIN'!D:D)</f>
        <v>17.5</v>
      </c>
      <c r="J15" s="8">
        <f t="shared" si="3"/>
        <v>0.41666666666666669</v>
      </c>
      <c r="K15" s="8">
        <f t="shared" si="4"/>
        <v>0.27777777777777779</v>
      </c>
      <c r="L15" s="8">
        <f t="shared" si="5"/>
        <v>5.7142857142857141E-2</v>
      </c>
      <c r="M15" s="8">
        <f t="shared" si="6"/>
        <v>0.58333333333333326</v>
      </c>
      <c r="N15" s="8">
        <f t="shared" si="7"/>
        <v>0.30555555555555547</v>
      </c>
      <c r="O15" s="8">
        <f t="shared" si="8"/>
        <v>3.7105751391465693E-2</v>
      </c>
      <c r="P15" s="8">
        <f t="shared" si="9"/>
        <v>26.949999999999989</v>
      </c>
      <c r="Q15" s="10">
        <f t="shared" si="10"/>
        <v>1.2968460111317262</v>
      </c>
    </row>
    <row r="16" spans="1:27">
      <c r="A16" s="5">
        <v>2</v>
      </c>
      <c r="B16" s="5">
        <v>4</v>
      </c>
      <c r="C16" s="5">
        <v>10</v>
      </c>
      <c r="D16" s="8">
        <v>66.2</v>
      </c>
      <c r="E16" s="11">
        <f t="shared" si="2"/>
        <v>1.5105740181268881E-2</v>
      </c>
      <c r="F16" s="8">
        <f t="shared" si="0"/>
        <v>177.93922176007257</v>
      </c>
      <c r="G16" s="8">
        <f>_xlfn.XLOOKUP(A16,'AYR RACE 7 - WIN'!B:B,'AYR RACE 7 - WIN'!D:D)</f>
        <v>3.6</v>
      </c>
      <c r="H16" s="8">
        <f>_xlfn.XLOOKUP(B16,'AYR RACE 7 - WIN'!B:B,'AYR RACE 7 - WIN'!D:D)</f>
        <v>2.4</v>
      </c>
      <c r="I16" s="8">
        <f>_xlfn.XLOOKUP(C16,'AYR RACE 7 - WIN'!B:B,'AYR RACE 7 - WIN'!D:D)</f>
        <v>17.5</v>
      </c>
      <c r="J16" s="8">
        <f t="shared" si="3"/>
        <v>0.27777777777777779</v>
      </c>
      <c r="K16" s="8">
        <f t="shared" si="4"/>
        <v>0.41666666666666669</v>
      </c>
      <c r="L16" s="8">
        <f t="shared" si="5"/>
        <v>5.7142857142857141E-2</v>
      </c>
      <c r="M16" s="8">
        <f t="shared" si="6"/>
        <v>0.72222222222222221</v>
      </c>
      <c r="N16" s="8">
        <f t="shared" si="7"/>
        <v>0.30555555555555552</v>
      </c>
      <c r="O16" s="8">
        <f t="shared" si="8"/>
        <v>2.9970029970029975E-2</v>
      </c>
      <c r="P16" s="8">
        <f t="shared" si="9"/>
        <v>33.36666666666666</v>
      </c>
      <c r="Q16" s="10">
        <f t="shared" si="10"/>
        <v>0.98401598401598456</v>
      </c>
    </row>
    <row r="17" spans="1:17">
      <c r="A17" s="5">
        <v>4</v>
      </c>
      <c r="B17" s="5">
        <v>7</v>
      </c>
      <c r="C17" s="5">
        <v>10</v>
      </c>
      <c r="D17" s="8">
        <v>67.8</v>
      </c>
      <c r="E17" s="11">
        <f t="shared" si="2"/>
        <v>1.4749262536873156E-2</v>
      </c>
      <c r="F17" s="8">
        <f t="shared" si="0"/>
        <v>173.74006608431867</v>
      </c>
      <c r="G17" s="8">
        <f>_xlfn.XLOOKUP(A17,'AYR RACE 7 - WIN'!B:B,'AYR RACE 7 - WIN'!D:D)</f>
        <v>2.4</v>
      </c>
      <c r="H17" s="8">
        <f>_xlfn.XLOOKUP(B17,'AYR RACE 7 - WIN'!B:B,'AYR RACE 7 - WIN'!D:D)</f>
        <v>4.2</v>
      </c>
      <c r="I17" s="8">
        <f>_xlfn.XLOOKUP(C17,'AYR RACE 7 - WIN'!B:B,'AYR RACE 7 - WIN'!D:D)</f>
        <v>17.5</v>
      </c>
      <c r="J17" s="8">
        <f t="shared" si="3"/>
        <v>0.41666666666666669</v>
      </c>
      <c r="K17" s="8">
        <f t="shared" si="4"/>
        <v>0.23809523809523808</v>
      </c>
      <c r="L17" s="8">
        <f t="shared" si="5"/>
        <v>5.7142857142857141E-2</v>
      </c>
      <c r="M17" s="8">
        <f t="shared" si="6"/>
        <v>0.58333333333333326</v>
      </c>
      <c r="N17" s="8">
        <f t="shared" si="7"/>
        <v>0.34523809523809518</v>
      </c>
      <c r="O17" s="8">
        <f t="shared" si="8"/>
        <v>2.8149190710767075E-2</v>
      </c>
      <c r="P17" s="8">
        <f t="shared" si="9"/>
        <v>35.524999999999991</v>
      </c>
      <c r="Q17" s="10">
        <f t="shared" si="10"/>
        <v>0.9085151301900074</v>
      </c>
    </row>
    <row r="18" spans="1:17">
      <c r="A18" s="19">
        <v>2</v>
      </c>
      <c r="B18" s="19">
        <v>7</v>
      </c>
      <c r="C18" s="19">
        <v>3</v>
      </c>
      <c r="D18" s="22">
        <v>68.599999999999994</v>
      </c>
      <c r="E18" s="20">
        <f t="shared" si="2"/>
        <v>1.457725947521866E-2</v>
      </c>
      <c r="F18" s="22">
        <f t="shared" si="0"/>
        <v>171.71394286467648</v>
      </c>
      <c r="G18" s="22">
        <f>_xlfn.XLOOKUP(A18,'AYR RACE 7 - WIN'!B:B,'AYR RACE 7 - WIN'!D:D)</f>
        <v>3.6</v>
      </c>
      <c r="H18" s="22">
        <f>_xlfn.XLOOKUP(B18,'AYR RACE 7 - WIN'!B:B,'AYR RACE 7 - WIN'!D:D)</f>
        <v>4.2</v>
      </c>
      <c r="I18" s="22">
        <f>_xlfn.XLOOKUP(C18,'AYR RACE 7 - WIN'!B:B,'AYR RACE 7 - WIN'!D:D)</f>
        <v>8.6999999999999993</v>
      </c>
      <c r="J18" s="22">
        <f t="shared" si="3"/>
        <v>0.27777777777777779</v>
      </c>
      <c r="K18" s="22">
        <f t="shared" si="4"/>
        <v>0.23809523809523808</v>
      </c>
      <c r="L18" s="22">
        <f t="shared" si="5"/>
        <v>0.1149425287356322</v>
      </c>
      <c r="M18" s="22">
        <f t="shared" si="6"/>
        <v>0.72222222222222221</v>
      </c>
      <c r="N18" s="22">
        <f t="shared" si="7"/>
        <v>0.48412698412698413</v>
      </c>
      <c r="O18" s="22">
        <f t="shared" si="8"/>
        <v>2.1741966343436104E-2</v>
      </c>
      <c r="P18" s="22">
        <f t="shared" si="9"/>
        <v>45.993999999999993</v>
      </c>
      <c r="Q18" s="23">
        <f t="shared" si="10"/>
        <v>0.49149889115971668</v>
      </c>
    </row>
    <row r="19" spans="1:17">
      <c r="A19" s="5">
        <v>4</v>
      </c>
      <c r="B19" s="5">
        <v>2</v>
      </c>
      <c r="C19" s="5">
        <v>9</v>
      </c>
      <c r="D19" s="8">
        <v>73.599999999999994</v>
      </c>
      <c r="E19" s="11">
        <f t="shared" si="2"/>
        <v>1.3586956521739132E-2</v>
      </c>
      <c r="F19" s="8">
        <f t="shared" si="0"/>
        <v>160.04859348528271</v>
      </c>
      <c r="G19" s="8">
        <f>_xlfn.XLOOKUP(A19,'AYR RACE 7 - WIN'!B:B,'AYR RACE 7 - WIN'!D:D)</f>
        <v>2.4</v>
      </c>
      <c r="H19" s="8">
        <f>_xlfn.XLOOKUP(B19,'AYR RACE 7 - WIN'!B:B,'AYR RACE 7 - WIN'!D:D)</f>
        <v>3.6</v>
      </c>
      <c r="I19" s="8">
        <f>_xlfn.XLOOKUP(C19,'AYR RACE 7 - WIN'!B:B,'AYR RACE 7 - WIN'!D:D)</f>
        <v>19.8</v>
      </c>
      <c r="J19" s="8">
        <f t="shared" si="3"/>
        <v>0.41666666666666669</v>
      </c>
      <c r="K19" s="8">
        <f t="shared" si="4"/>
        <v>0.27777777777777779</v>
      </c>
      <c r="L19" s="8">
        <f t="shared" si="5"/>
        <v>5.0505050505050504E-2</v>
      </c>
      <c r="M19" s="8">
        <f t="shared" si="6"/>
        <v>0.58333333333333326</v>
      </c>
      <c r="N19" s="8">
        <f t="shared" si="7"/>
        <v>0.30555555555555547</v>
      </c>
      <c r="O19" s="8">
        <f t="shared" si="8"/>
        <v>3.2795487340941898E-2</v>
      </c>
      <c r="P19" s="8">
        <f t="shared" si="9"/>
        <v>30.49199999999999</v>
      </c>
      <c r="Q19" s="10">
        <f t="shared" si="10"/>
        <v>1.4137478682933233</v>
      </c>
    </row>
    <row r="20" spans="1:17">
      <c r="A20" s="5">
        <v>7</v>
      </c>
      <c r="B20" s="5">
        <v>2</v>
      </c>
      <c r="C20" s="5">
        <v>3</v>
      </c>
      <c r="D20" s="8">
        <v>73.8</v>
      </c>
      <c r="E20" s="11">
        <f t="shared" si="2"/>
        <v>1.3550135501355014E-2</v>
      </c>
      <c r="F20" s="8">
        <f t="shared" si="0"/>
        <v>159.61485745957731</v>
      </c>
      <c r="G20" s="8">
        <f>_xlfn.XLOOKUP(A20,'AYR RACE 7 - WIN'!B:B,'AYR RACE 7 - WIN'!D:D)</f>
        <v>4.2</v>
      </c>
      <c r="H20" s="8">
        <f>_xlfn.XLOOKUP(B20,'AYR RACE 7 - WIN'!B:B,'AYR RACE 7 - WIN'!D:D)</f>
        <v>3.6</v>
      </c>
      <c r="I20" s="8">
        <f>_xlfn.XLOOKUP(C20,'AYR RACE 7 - WIN'!B:B,'AYR RACE 7 - WIN'!D:D)</f>
        <v>8.6999999999999993</v>
      </c>
      <c r="J20" s="8">
        <f t="shared" si="3"/>
        <v>0.23809523809523808</v>
      </c>
      <c r="K20" s="8">
        <f t="shared" si="4"/>
        <v>0.27777777777777779</v>
      </c>
      <c r="L20" s="8">
        <f t="shared" si="5"/>
        <v>0.1149425287356322</v>
      </c>
      <c r="M20" s="8">
        <f t="shared" si="6"/>
        <v>0.76190476190476186</v>
      </c>
      <c r="N20" s="8">
        <f t="shared" si="7"/>
        <v>0.48412698412698407</v>
      </c>
      <c r="O20" s="8">
        <f t="shared" si="8"/>
        <v>2.0609572263048812E-2</v>
      </c>
      <c r="P20" s="8">
        <f t="shared" si="9"/>
        <v>48.521142857142841</v>
      </c>
      <c r="Q20" s="10">
        <f t="shared" si="10"/>
        <v>0.52098643301300207</v>
      </c>
    </row>
    <row r="21" spans="1:17">
      <c r="A21" s="5">
        <v>4</v>
      </c>
      <c r="B21" s="5">
        <v>2</v>
      </c>
      <c r="C21" s="5">
        <v>11</v>
      </c>
      <c r="D21" s="8">
        <v>75.8</v>
      </c>
      <c r="E21" s="11">
        <f t="shared" si="2"/>
        <v>1.3192612137203167E-2</v>
      </c>
      <c r="F21" s="8">
        <f t="shared" si="0"/>
        <v>155.40338364797896</v>
      </c>
      <c r="G21" s="8">
        <f>_xlfn.XLOOKUP(A21,'AYR RACE 7 - WIN'!B:B,'AYR RACE 7 - WIN'!D:D)</f>
        <v>2.4</v>
      </c>
      <c r="H21" s="8">
        <f>_xlfn.XLOOKUP(B21,'AYR RACE 7 - WIN'!B:B,'AYR RACE 7 - WIN'!D:D)</f>
        <v>3.6</v>
      </c>
      <c r="I21" s="8">
        <f>_xlfn.XLOOKUP(C21,'AYR RACE 7 - WIN'!B:B,'AYR RACE 7 - WIN'!D:D)</f>
        <v>28.8</v>
      </c>
      <c r="J21" s="8">
        <f t="shared" si="3"/>
        <v>0.41666666666666669</v>
      </c>
      <c r="K21" s="8">
        <f t="shared" si="4"/>
        <v>0.27777777777777779</v>
      </c>
      <c r="L21" s="8">
        <f t="shared" si="5"/>
        <v>3.4722222222222224E-2</v>
      </c>
      <c r="M21" s="8">
        <f t="shared" si="6"/>
        <v>0.58333333333333326</v>
      </c>
      <c r="N21" s="8">
        <f t="shared" si="7"/>
        <v>0.30555555555555547</v>
      </c>
      <c r="O21" s="8">
        <f t="shared" si="8"/>
        <v>2.2546897546897558E-2</v>
      </c>
      <c r="P21" s="8">
        <f t="shared" si="9"/>
        <v>44.351999999999975</v>
      </c>
      <c r="Q21" s="10">
        <f t="shared" si="10"/>
        <v>0.70905483405483483</v>
      </c>
    </row>
    <row r="22" spans="1:17">
      <c r="A22" s="5">
        <v>4</v>
      </c>
      <c r="B22" s="5">
        <v>7</v>
      </c>
      <c r="C22" s="5">
        <v>9</v>
      </c>
      <c r="D22" s="8">
        <v>77.599999999999994</v>
      </c>
      <c r="E22" s="11">
        <f t="shared" si="2"/>
        <v>1.2886597938144331E-2</v>
      </c>
      <c r="F22" s="8">
        <f t="shared" si="0"/>
        <v>151.79866598604133</v>
      </c>
      <c r="G22" s="8">
        <f>_xlfn.XLOOKUP(A22,'AYR RACE 7 - WIN'!B:B,'AYR RACE 7 - WIN'!D:D)</f>
        <v>2.4</v>
      </c>
      <c r="H22" s="8">
        <f>_xlfn.XLOOKUP(B22,'AYR RACE 7 - WIN'!B:B,'AYR RACE 7 - WIN'!D:D)</f>
        <v>4.2</v>
      </c>
      <c r="I22" s="8">
        <f>_xlfn.XLOOKUP(C22,'AYR RACE 7 - WIN'!B:B,'AYR RACE 7 - WIN'!D:D)</f>
        <v>19.8</v>
      </c>
      <c r="J22" s="8">
        <f t="shared" si="3"/>
        <v>0.41666666666666669</v>
      </c>
      <c r="K22" s="8">
        <f t="shared" si="4"/>
        <v>0.23809523809523808</v>
      </c>
      <c r="L22" s="8">
        <f t="shared" si="5"/>
        <v>5.0505050505050504E-2</v>
      </c>
      <c r="M22" s="8">
        <f t="shared" si="6"/>
        <v>0.58333333333333326</v>
      </c>
      <c r="N22" s="8">
        <f t="shared" si="7"/>
        <v>0.34523809523809518</v>
      </c>
      <c r="O22" s="8">
        <f t="shared" si="8"/>
        <v>2.4879335224162819E-2</v>
      </c>
      <c r="P22" s="8">
        <f t="shared" si="9"/>
        <v>40.193999999999988</v>
      </c>
      <c r="Q22" s="10">
        <f t="shared" si="10"/>
        <v>0.93063641339503445</v>
      </c>
    </row>
    <row r="23" spans="1:17">
      <c r="A23" s="5">
        <v>4</v>
      </c>
      <c r="B23" s="5">
        <v>10</v>
      </c>
      <c r="C23" s="5">
        <v>2</v>
      </c>
      <c r="D23" s="8">
        <v>80.7</v>
      </c>
      <c r="E23" s="11">
        <f t="shared" si="2"/>
        <v>1.2391573729863692E-2</v>
      </c>
      <c r="F23" s="8">
        <f t="shared" si="0"/>
        <v>145.96749046489228</v>
      </c>
      <c r="G23" s="8">
        <f>_xlfn.XLOOKUP(A23,'AYR RACE 7 - WIN'!B:B,'AYR RACE 7 - WIN'!D:D)</f>
        <v>2.4</v>
      </c>
      <c r="H23" s="8">
        <f>_xlfn.XLOOKUP(B23,'AYR RACE 7 - WIN'!B:B,'AYR RACE 7 - WIN'!D:D)</f>
        <v>17.5</v>
      </c>
      <c r="I23" s="8">
        <f>_xlfn.XLOOKUP(C23,'AYR RACE 7 - WIN'!B:B,'AYR RACE 7 - WIN'!D:D)</f>
        <v>3.6</v>
      </c>
      <c r="J23" s="8">
        <f t="shared" si="3"/>
        <v>0.41666666666666669</v>
      </c>
      <c r="K23" s="8">
        <f t="shared" si="4"/>
        <v>5.7142857142857141E-2</v>
      </c>
      <c r="L23" s="8">
        <f t="shared" si="5"/>
        <v>0.27777777777777779</v>
      </c>
      <c r="M23" s="8">
        <f t="shared" si="6"/>
        <v>0.58333333333333326</v>
      </c>
      <c r="N23" s="8">
        <f t="shared" si="7"/>
        <v>0.5261904761904761</v>
      </c>
      <c r="O23" s="8">
        <f t="shared" si="8"/>
        <v>2.1547080370609789E-2</v>
      </c>
      <c r="P23" s="8">
        <f t="shared" si="9"/>
        <v>46.409999999999982</v>
      </c>
      <c r="Q23" s="10">
        <f t="shared" si="10"/>
        <v>0.73884938590821014</v>
      </c>
    </row>
    <row r="24" spans="1:17">
      <c r="A24" s="5">
        <v>2</v>
      </c>
      <c r="B24" s="5">
        <v>4</v>
      </c>
      <c r="C24" s="5">
        <v>9</v>
      </c>
      <c r="D24" s="8">
        <v>81.900000000000006</v>
      </c>
      <c r="E24" s="11">
        <f t="shared" si="2"/>
        <v>1.221001221001221E-2</v>
      </c>
      <c r="F24" s="8">
        <f t="shared" si="0"/>
        <v>143.82877265588286</v>
      </c>
      <c r="G24" s="8">
        <f>_xlfn.XLOOKUP(A24,'AYR RACE 7 - WIN'!B:B,'AYR RACE 7 - WIN'!D:D)</f>
        <v>3.6</v>
      </c>
      <c r="H24" s="8">
        <f>_xlfn.XLOOKUP(B24,'AYR RACE 7 - WIN'!B:B,'AYR RACE 7 - WIN'!D:D)</f>
        <v>2.4</v>
      </c>
      <c r="I24" s="8">
        <f>_xlfn.XLOOKUP(C24,'AYR RACE 7 - WIN'!B:B,'AYR RACE 7 - WIN'!D:D)</f>
        <v>19.8</v>
      </c>
      <c r="J24" s="8">
        <f t="shared" si="3"/>
        <v>0.27777777777777779</v>
      </c>
      <c r="K24" s="8">
        <f t="shared" si="4"/>
        <v>0.41666666666666669</v>
      </c>
      <c r="L24" s="8">
        <f t="shared" si="5"/>
        <v>5.0505050505050504E-2</v>
      </c>
      <c r="M24" s="8">
        <f t="shared" si="6"/>
        <v>0.72222222222222221</v>
      </c>
      <c r="N24" s="8">
        <f t="shared" si="7"/>
        <v>0.30555555555555552</v>
      </c>
      <c r="O24" s="8">
        <f t="shared" si="8"/>
        <v>2.648866285229922E-2</v>
      </c>
      <c r="P24" s="8">
        <f t="shared" si="9"/>
        <v>37.751999999999995</v>
      </c>
      <c r="Q24" s="10">
        <f t="shared" si="10"/>
        <v>1.169421487603306</v>
      </c>
    </row>
    <row r="25" spans="1:17">
      <c r="A25" s="5">
        <v>3</v>
      </c>
      <c r="B25" s="5">
        <v>2</v>
      </c>
      <c r="C25" s="5">
        <v>4</v>
      </c>
      <c r="D25" s="8">
        <v>84.8</v>
      </c>
      <c r="E25" s="11">
        <f t="shared" si="2"/>
        <v>1.179245283018868E-2</v>
      </c>
      <c r="F25" s="8">
        <f t="shared" si="0"/>
        <v>138.91010000609441</v>
      </c>
      <c r="G25" s="8">
        <f>_xlfn.XLOOKUP(A25,'AYR RACE 7 - WIN'!B:B,'AYR RACE 7 - WIN'!D:D)</f>
        <v>8.6999999999999993</v>
      </c>
      <c r="H25" s="8">
        <f>_xlfn.XLOOKUP(B25,'AYR RACE 7 - WIN'!B:B,'AYR RACE 7 - WIN'!D:D)</f>
        <v>3.6</v>
      </c>
      <c r="I25" s="8">
        <f>_xlfn.XLOOKUP(C25,'AYR RACE 7 - WIN'!B:B,'AYR RACE 7 - WIN'!D:D)</f>
        <v>2.4</v>
      </c>
      <c r="J25" s="8">
        <f t="shared" si="3"/>
        <v>0.1149425287356322</v>
      </c>
      <c r="K25" s="8">
        <f t="shared" si="4"/>
        <v>0.27777777777777779</v>
      </c>
      <c r="L25" s="8">
        <f t="shared" si="5"/>
        <v>0.41666666666666669</v>
      </c>
      <c r="M25" s="8">
        <f t="shared" si="6"/>
        <v>0.88505747126436785</v>
      </c>
      <c r="N25" s="8">
        <f t="shared" si="7"/>
        <v>0.60727969348659006</v>
      </c>
      <c r="O25" s="8">
        <f t="shared" si="8"/>
        <v>2.4751799199748733E-2</v>
      </c>
      <c r="P25" s="8">
        <f t="shared" si="9"/>
        <v>40.401103448275855</v>
      </c>
      <c r="Q25" s="10">
        <f t="shared" si="10"/>
        <v>1.0989525721386921</v>
      </c>
    </row>
    <row r="26" spans="1:17">
      <c r="A26" s="5">
        <v>4</v>
      </c>
      <c r="B26" s="5">
        <v>7</v>
      </c>
      <c r="C26" s="5">
        <v>11</v>
      </c>
      <c r="D26" s="8">
        <v>85.3</v>
      </c>
      <c r="E26" s="11">
        <f t="shared" si="2"/>
        <v>1.1723329425556858E-2</v>
      </c>
      <c r="F26" s="8">
        <f t="shared" si="0"/>
        <v>138.09585557464018</v>
      </c>
      <c r="G26" s="8">
        <f>_xlfn.XLOOKUP(A26,'AYR RACE 7 - WIN'!B:B,'AYR RACE 7 - WIN'!D:D)</f>
        <v>2.4</v>
      </c>
      <c r="H26" s="8">
        <f>_xlfn.XLOOKUP(B26,'AYR RACE 7 - WIN'!B:B,'AYR RACE 7 - WIN'!D:D)</f>
        <v>4.2</v>
      </c>
      <c r="I26" s="8">
        <f>_xlfn.XLOOKUP(C26,'AYR RACE 7 - WIN'!B:B,'AYR RACE 7 - WIN'!D:D)</f>
        <v>28.8</v>
      </c>
      <c r="J26" s="8">
        <f t="shared" si="3"/>
        <v>0.41666666666666669</v>
      </c>
      <c r="K26" s="8">
        <f t="shared" si="4"/>
        <v>0.23809523809523808</v>
      </c>
      <c r="L26" s="8">
        <f t="shared" si="5"/>
        <v>3.4722222222222224E-2</v>
      </c>
      <c r="M26" s="8">
        <f t="shared" si="6"/>
        <v>0.58333333333333326</v>
      </c>
      <c r="N26" s="8">
        <f t="shared" si="7"/>
        <v>0.34523809523809518</v>
      </c>
      <c r="O26" s="8">
        <f t="shared" si="8"/>
        <v>1.7104542966611937E-2</v>
      </c>
      <c r="P26" s="8">
        <f t="shared" si="9"/>
        <v>58.463999999999984</v>
      </c>
      <c r="Q26" s="10">
        <f t="shared" si="10"/>
        <v>0.45901751505199817</v>
      </c>
    </row>
    <row r="27" spans="1:17">
      <c r="A27" s="5">
        <v>2</v>
      </c>
      <c r="B27" s="5">
        <v>3</v>
      </c>
      <c r="C27" s="5">
        <v>7</v>
      </c>
      <c r="D27" s="8">
        <v>86.6</v>
      </c>
      <c r="E27" s="11">
        <f t="shared" si="2"/>
        <v>1.1547344110854504E-2</v>
      </c>
      <c r="F27" s="8">
        <f t="shared" si="0"/>
        <v>136.02282310065596</v>
      </c>
      <c r="G27" s="8">
        <f>_xlfn.XLOOKUP(A27,'AYR RACE 7 - WIN'!B:B,'AYR RACE 7 - WIN'!D:D)</f>
        <v>3.6</v>
      </c>
      <c r="H27" s="8">
        <f>_xlfn.XLOOKUP(B27,'AYR RACE 7 - WIN'!B:B,'AYR RACE 7 - WIN'!D:D)</f>
        <v>8.6999999999999993</v>
      </c>
      <c r="I27" s="8">
        <f>_xlfn.XLOOKUP(C27,'AYR RACE 7 - WIN'!B:B,'AYR RACE 7 - WIN'!D:D)</f>
        <v>4.2</v>
      </c>
      <c r="J27" s="8">
        <f t="shared" si="3"/>
        <v>0.27777777777777779</v>
      </c>
      <c r="K27" s="8">
        <f t="shared" si="4"/>
        <v>0.1149425287356322</v>
      </c>
      <c r="L27" s="8">
        <f t="shared" si="5"/>
        <v>0.23809523809523808</v>
      </c>
      <c r="M27" s="8">
        <f t="shared" si="6"/>
        <v>0.72222222222222221</v>
      </c>
      <c r="N27" s="8">
        <f t="shared" si="7"/>
        <v>0.60727969348659006</v>
      </c>
      <c r="O27" s="8">
        <f t="shared" si="8"/>
        <v>1.7332824903802824E-2</v>
      </c>
      <c r="P27" s="8">
        <f t="shared" si="9"/>
        <v>57.693999999999988</v>
      </c>
      <c r="Q27" s="10">
        <f t="shared" si="10"/>
        <v>0.50102263666932467</v>
      </c>
    </row>
    <row r="28" spans="1:17">
      <c r="A28" s="5">
        <v>3</v>
      </c>
      <c r="B28" s="5">
        <v>4</v>
      </c>
      <c r="C28" s="5">
        <v>2</v>
      </c>
      <c r="D28" s="8">
        <v>86.7</v>
      </c>
      <c r="E28" s="11">
        <f t="shared" si="2"/>
        <v>1.1534025374855825E-2</v>
      </c>
      <c r="F28" s="8">
        <f t="shared" si="0"/>
        <v>135.86593403133568</v>
      </c>
      <c r="G28" s="8">
        <f>_xlfn.XLOOKUP(A28,'AYR RACE 7 - WIN'!B:B,'AYR RACE 7 - WIN'!D:D)</f>
        <v>8.6999999999999993</v>
      </c>
      <c r="H28" s="8">
        <f>_xlfn.XLOOKUP(B28,'AYR RACE 7 - WIN'!B:B,'AYR RACE 7 - WIN'!D:D)</f>
        <v>2.4</v>
      </c>
      <c r="I28" s="8">
        <f>_xlfn.XLOOKUP(C28,'AYR RACE 7 - WIN'!B:B,'AYR RACE 7 - WIN'!D:D)</f>
        <v>3.6</v>
      </c>
      <c r="J28" s="8">
        <f t="shared" si="3"/>
        <v>0.1149425287356322</v>
      </c>
      <c r="K28" s="8">
        <f t="shared" si="4"/>
        <v>0.41666666666666669</v>
      </c>
      <c r="L28" s="8">
        <f t="shared" si="5"/>
        <v>0.27777777777777779</v>
      </c>
      <c r="M28" s="8">
        <f t="shared" si="6"/>
        <v>0.88505747126436785</v>
      </c>
      <c r="N28" s="8">
        <f t="shared" si="7"/>
        <v>0.46839080459770116</v>
      </c>
      <c r="O28" s="8">
        <f t="shared" si="8"/>
        <v>3.2091289760001425E-2</v>
      </c>
      <c r="P28" s="8">
        <f t="shared" si="9"/>
        <v>31.161103448275853</v>
      </c>
      <c r="Q28" s="10">
        <f t="shared" si="10"/>
        <v>1.7823148221921237</v>
      </c>
    </row>
    <row r="29" spans="1:17">
      <c r="A29" s="5">
        <v>7</v>
      </c>
      <c r="B29" s="5">
        <v>3</v>
      </c>
      <c r="C29" s="5">
        <v>4</v>
      </c>
      <c r="D29" s="8">
        <v>95.7</v>
      </c>
      <c r="E29" s="11">
        <f t="shared" si="2"/>
        <v>1.0449320794148381E-2</v>
      </c>
      <c r="F29" s="8">
        <f t="shared" si="0"/>
        <v>123.08857346412546</v>
      </c>
      <c r="G29" s="8">
        <f>_xlfn.XLOOKUP(A29,'AYR RACE 7 - WIN'!B:B,'AYR RACE 7 - WIN'!D:D)</f>
        <v>4.2</v>
      </c>
      <c r="H29" s="8">
        <f>_xlfn.XLOOKUP(B29,'AYR RACE 7 - WIN'!B:B,'AYR RACE 7 - WIN'!D:D)</f>
        <v>8.6999999999999993</v>
      </c>
      <c r="I29" s="8">
        <f>_xlfn.XLOOKUP(C29,'AYR RACE 7 - WIN'!B:B,'AYR RACE 7 - WIN'!D:D)</f>
        <v>2.4</v>
      </c>
      <c r="J29" s="8">
        <f t="shared" si="3"/>
        <v>0.23809523809523808</v>
      </c>
      <c r="K29" s="8">
        <f t="shared" si="4"/>
        <v>0.1149425287356322</v>
      </c>
      <c r="L29" s="8">
        <f t="shared" si="5"/>
        <v>0.41666666666666669</v>
      </c>
      <c r="M29" s="8">
        <f t="shared" si="6"/>
        <v>0.76190476190476186</v>
      </c>
      <c r="N29" s="8">
        <f t="shared" si="7"/>
        <v>0.64696223316912971</v>
      </c>
      <c r="O29" s="8">
        <f t="shared" si="8"/>
        <v>2.3133460236886637E-2</v>
      </c>
      <c r="P29" s="8">
        <f t="shared" si="9"/>
        <v>43.227428571428561</v>
      </c>
      <c r="Q29" s="10">
        <f t="shared" si="10"/>
        <v>1.2138721446700513</v>
      </c>
    </row>
    <row r="30" spans="1:17">
      <c r="A30" s="5">
        <v>4</v>
      </c>
      <c r="B30" s="5">
        <v>10</v>
      </c>
      <c r="C30" s="5">
        <v>7</v>
      </c>
      <c r="D30" s="8">
        <v>97.7</v>
      </c>
      <c r="E30" s="11">
        <f t="shared" si="2"/>
        <v>1.0235414534288638E-2</v>
      </c>
      <c r="F30" s="8">
        <f t="shared" si="0"/>
        <v>120.56884831644632</v>
      </c>
      <c r="G30" s="8">
        <f>_xlfn.XLOOKUP(A30,'AYR RACE 7 - WIN'!B:B,'AYR RACE 7 - WIN'!D:D)</f>
        <v>2.4</v>
      </c>
      <c r="H30" s="8">
        <f>_xlfn.XLOOKUP(B30,'AYR RACE 7 - WIN'!B:B,'AYR RACE 7 - WIN'!D:D)</f>
        <v>17.5</v>
      </c>
      <c r="I30" s="8">
        <f>_xlfn.XLOOKUP(C30,'AYR RACE 7 - WIN'!B:B,'AYR RACE 7 - WIN'!D:D)</f>
        <v>4.2</v>
      </c>
      <c r="J30" s="8">
        <f t="shared" si="3"/>
        <v>0.41666666666666669</v>
      </c>
      <c r="K30" s="8">
        <f t="shared" si="4"/>
        <v>5.7142857142857141E-2</v>
      </c>
      <c r="L30" s="8">
        <f t="shared" si="5"/>
        <v>0.23809523809523808</v>
      </c>
      <c r="M30" s="8">
        <f t="shared" si="6"/>
        <v>0.58333333333333326</v>
      </c>
      <c r="N30" s="8">
        <f t="shared" si="7"/>
        <v>0.5261904761904761</v>
      </c>
      <c r="O30" s="8">
        <f t="shared" si="8"/>
        <v>1.8468926031951247E-2</v>
      </c>
      <c r="P30" s="8">
        <f t="shared" si="9"/>
        <v>54.144999999999982</v>
      </c>
      <c r="Q30" s="10">
        <f t="shared" si="10"/>
        <v>0.80441407332163695</v>
      </c>
    </row>
    <row r="31" spans="1:17">
      <c r="A31" s="5">
        <v>7</v>
      </c>
      <c r="B31" s="5">
        <v>3</v>
      </c>
      <c r="C31" s="5">
        <v>2</v>
      </c>
      <c r="D31" s="8">
        <v>98.3</v>
      </c>
      <c r="E31" s="11">
        <f t="shared" si="2"/>
        <v>1.0172939979654121E-2</v>
      </c>
      <c r="F31" s="8">
        <f t="shared" si="0"/>
        <v>119.83292452204279</v>
      </c>
      <c r="G31" s="8">
        <f>_xlfn.XLOOKUP(A31,'AYR RACE 7 - WIN'!B:B,'AYR RACE 7 - WIN'!D:D)</f>
        <v>4.2</v>
      </c>
      <c r="H31" s="8">
        <f>_xlfn.XLOOKUP(B31,'AYR RACE 7 - WIN'!B:B,'AYR RACE 7 - WIN'!D:D)</f>
        <v>8.6999999999999993</v>
      </c>
      <c r="I31" s="8">
        <f>_xlfn.XLOOKUP(C31,'AYR RACE 7 - WIN'!B:B,'AYR RACE 7 - WIN'!D:D)</f>
        <v>3.6</v>
      </c>
      <c r="J31" s="8">
        <f t="shared" si="3"/>
        <v>0.23809523809523808</v>
      </c>
      <c r="K31" s="8">
        <f t="shared" si="4"/>
        <v>0.1149425287356322</v>
      </c>
      <c r="L31" s="8">
        <f t="shared" si="5"/>
        <v>0.27777777777777779</v>
      </c>
      <c r="M31" s="8">
        <f t="shared" si="6"/>
        <v>0.76190476190476186</v>
      </c>
      <c r="N31" s="8">
        <f t="shared" si="7"/>
        <v>0.64696223316912971</v>
      </c>
      <c r="O31" s="8">
        <f t="shared" si="8"/>
        <v>1.542230682459109E-2</v>
      </c>
      <c r="P31" s="8">
        <f t="shared" si="9"/>
        <v>64.841142857142856</v>
      </c>
      <c r="Q31" s="10">
        <f t="shared" si="10"/>
        <v>0.51601276085730396</v>
      </c>
    </row>
    <row r="32" spans="1:17">
      <c r="A32" s="5">
        <v>6</v>
      </c>
      <c r="B32" s="5">
        <v>8</v>
      </c>
      <c r="C32" s="5">
        <v>11</v>
      </c>
      <c r="D32" s="8">
        <v>4979.8</v>
      </c>
      <c r="E32" s="11">
        <f t="shared" si="2"/>
        <v>2.0081127756134783E-4</v>
      </c>
      <c r="F32" s="8">
        <f t="shared" si="0"/>
        <v>2.3654718021841852</v>
      </c>
      <c r="G32" s="8">
        <f>_xlfn.XLOOKUP(A32,'AYR RACE 7 - WIN'!B:B,'AYR RACE 7 - WIN'!D:D)</f>
        <v>48.1</v>
      </c>
      <c r="H32" s="8">
        <f>_xlfn.XLOOKUP(B32,'AYR RACE 7 - WIN'!B:B,'AYR RACE 7 - WIN'!D:D)</f>
        <v>40.5</v>
      </c>
      <c r="I32" s="8">
        <f>_xlfn.XLOOKUP(C32,'AYR RACE 7 - WIN'!B:B,'AYR RACE 7 - WIN'!D:D)</f>
        <v>28.8</v>
      </c>
      <c r="J32" s="8">
        <f t="shared" si="3"/>
        <v>2.0790020790020788E-2</v>
      </c>
      <c r="K32" s="8">
        <f t="shared" si="4"/>
        <v>2.4691358024691357E-2</v>
      </c>
      <c r="L32" s="8">
        <f t="shared" si="5"/>
        <v>3.4722222222222224E-2</v>
      </c>
      <c r="M32" s="8">
        <f t="shared" si="6"/>
        <v>0.97920997920997921</v>
      </c>
      <c r="N32" s="8">
        <f t="shared" si="7"/>
        <v>0.95451862118528785</v>
      </c>
      <c r="O32" s="8">
        <f t="shared" si="8"/>
        <v>1.9069845595496198E-5</v>
      </c>
      <c r="P32" s="8">
        <f t="shared" si="9"/>
        <v>52438.809480249489</v>
      </c>
      <c r="Q32" s="10">
        <f t="shared" si="10"/>
        <v>-0.90503598290354803</v>
      </c>
    </row>
    <row r="33" spans="1:17">
      <c r="A33" s="5">
        <v>8</v>
      </c>
      <c r="B33" s="5">
        <v>6</v>
      </c>
      <c r="C33" s="5">
        <v>11</v>
      </c>
      <c r="D33" s="8">
        <v>4979.8</v>
      </c>
      <c r="E33" s="11">
        <f t="shared" si="2"/>
        <v>2.0081127756134783E-4</v>
      </c>
      <c r="F33" s="8">
        <f t="shared" si="0"/>
        <v>2.3654718021841852</v>
      </c>
      <c r="G33" s="8">
        <f>_xlfn.XLOOKUP(A33,'AYR RACE 7 - WIN'!B:B,'AYR RACE 7 - WIN'!D:D)</f>
        <v>40.5</v>
      </c>
      <c r="H33" s="8">
        <f>_xlfn.XLOOKUP(B33,'AYR RACE 7 - WIN'!B:B,'AYR RACE 7 - WIN'!D:D)</f>
        <v>48.1</v>
      </c>
      <c r="I33" s="8">
        <f>_xlfn.XLOOKUP(C33,'AYR RACE 7 - WIN'!B:B,'AYR RACE 7 - WIN'!D:D)</f>
        <v>28.8</v>
      </c>
      <c r="J33" s="8">
        <f t="shared" si="3"/>
        <v>2.4691358024691357E-2</v>
      </c>
      <c r="K33" s="8">
        <f t="shared" si="4"/>
        <v>2.0790020790020788E-2</v>
      </c>
      <c r="L33" s="8">
        <f t="shared" si="5"/>
        <v>3.4722222222222224E-2</v>
      </c>
      <c r="M33" s="8">
        <f t="shared" si="6"/>
        <v>0.97530864197530864</v>
      </c>
      <c r="N33" s="8">
        <f t="shared" si="7"/>
        <v>0.95451862118528785</v>
      </c>
      <c r="O33" s="8">
        <f t="shared" si="8"/>
        <v>1.9146126985283175E-5</v>
      </c>
      <c r="P33" s="8">
        <f t="shared" si="9"/>
        <v>52229.884444444462</v>
      </c>
      <c r="Q33" s="10">
        <f t="shared" si="10"/>
        <v>-0.90465611683868685</v>
      </c>
    </row>
    <row r="34" spans="1:17">
      <c r="A34" s="5">
        <v>8</v>
      </c>
      <c r="B34" s="5">
        <v>11</v>
      </c>
      <c r="C34" s="5">
        <v>6</v>
      </c>
      <c r="D34" s="8">
        <v>4979.8</v>
      </c>
      <c r="E34" s="11">
        <f t="shared" si="2"/>
        <v>2.0081127756134783E-4</v>
      </c>
      <c r="F34" s="8">
        <f t="shared" si="0"/>
        <v>2.3654718021841852</v>
      </c>
      <c r="G34" s="8">
        <f>_xlfn.XLOOKUP(A34,'AYR RACE 7 - WIN'!B:B,'AYR RACE 7 - WIN'!D:D)</f>
        <v>40.5</v>
      </c>
      <c r="H34" s="8">
        <f>_xlfn.XLOOKUP(B34,'AYR RACE 7 - WIN'!B:B,'AYR RACE 7 - WIN'!D:D)</f>
        <v>28.8</v>
      </c>
      <c r="I34" s="8">
        <f>_xlfn.XLOOKUP(C34,'AYR RACE 7 - WIN'!B:B,'AYR RACE 7 - WIN'!D:D)</f>
        <v>48.1</v>
      </c>
      <c r="J34" s="8">
        <f t="shared" si="3"/>
        <v>2.4691358024691357E-2</v>
      </c>
      <c r="K34" s="8">
        <f t="shared" si="4"/>
        <v>3.4722222222222224E-2</v>
      </c>
      <c r="L34" s="8">
        <f t="shared" si="5"/>
        <v>2.0790020790020788E-2</v>
      </c>
      <c r="M34" s="8">
        <f t="shared" si="6"/>
        <v>0.97530864197530864</v>
      </c>
      <c r="N34" s="8">
        <f t="shared" si="7"/>
        <v>0.94058641975308643</v>
      </c>
      <c r="O34" s="8">
        <f t="shared" si="8"/>
        <v>1.9429724209529192E-5</v>
      </c>
      <c r="P34" s="8">
        <f t="shared" si="9"/>
        <v>51467.534444444456</v>
      </c>
      <c r="Q34" s="10">
        <f t="shared" si="10"/>
        <v>-0.90324385938138652</v>
      </c>
    </row>
    <row r="35" spans="1:17">
      <c r="A35" s="5">
        <v>6</v>
      </c>
      <c r="B35" s="5">
        <v>11</v>
      </c>
      <c r="C35" s="5">
        <v>8</v>
      </c>
      <c r="D35" s="8">
        <v>4979.3999999999996</v>
      </c>
      <c r="E35" s="11">
        <f t="shared" si="2"/>
        <v>2.0082740892477007E-4</v>
      </c>
      <c r="F35" s="8">
        <f t="shared" si="0"/>
        <v>2.3656618228133524</v>
      </c>
      <c r="G35" s="8">
        <f>_xlfn.XLOOKUP(A35,'AYR RACE 7 - WIN'!B:B,'AYR RACE 7 - WIN'!D:D)</f>
        <v>48.1</v>
      </c>
      <c r="H35" s="8">
        <f>_xlfn.XLOOKUP(B35,'AYR RACE 7 - WIN'!B:B,'AYR RACE 7 - WIN'!D:D)</f>
        <v>28.8</v>
      </c>
      <c r="I35" s="8">
        <f>_xlfn.XLOOKUP(C35,'AYR RACE 7 - WIN'!B:B,'AYR RACE 7 - WIN'!D:D)</f>
        <v>40.5</v>
      </c>
      <c r="J35" s="8">
        <f t="shared" si="3"/>
        <v>2.0790020790020788E-2</v>
      </c>
      <c r="K35" s="8">
        <f t="shared" si="4"/>
        <v>3.4722222222222224E-2</v>
      </c>
      <c r="L35" s="8">
        <f t="shared" si="5"/>
        <v>2.4691358024691357E-2</v>
      </c>
      <c r="M35" s="8">
        <f t="shared" si="6"/>
        <v>0.97920997920997921</v>
      </c>
      <c r="N35" s="8">
        <f t="shared" si="7"/>
        <v>0.944487756987757</v>
      </c>
      <c r="O35" s="8">
        <f t="shared" si="8"/>
        <v>1.9272375517161221E-5</v>
      </c>
      <c r="P35" s="8">
        <f t="shared" si="9"/>
        <v>51887.739480249489</v>
      </c>
      <c r="Q35" s="10">
        <f t="shared" si="10"/>
        <v>-0.90403513334984742</v>
      </c>
    </row>
    <row r="36" spans="1:17">
      <c r="A36" s="5">
        <v>3</v>
      </c>
      <c r="B36" s="5">
        <v>5</v>
      </c>
      <c r="C36" s="5">
        <v>2</v>
      </c>
      <c r="D36" s="8">
        <v>4979.6000000000004</v>
      </c>
      <c r="E36" s="11">
        <f t="shared" si="2"/>
        <v>2.0081934291910997E-4</v>
      </c>
      <c r="F36" s="8">
        <f t="shared" si="0"/>
        <v>2.3655668086827868</v>
      </c>
      <c r="G36" s="8">
        <f>_xlfn.XLOOKUP(A36,'AYR RACE 7 - WIN'!B:B,'AYR RACE 7 - WIN'!D:D)</f>
        <v>8.6999999999999993</v>
      </c>
      <c r="H36" s="8">
        <f>_xlfn.XLOOKUP(B36,'AYR RACE 7 - WIN'!B:B,'AYR RACE 7 - WIN'!D:D)</f>
        <v>77.8</v>
      </c>
      <c r="I36" s="8">
        <f>_xlfn.XLOOKUP(C36,'AYR RACE 7 - WIN'!B:B,'AYR RACE 7 - WIN'!D:D)</f>
        <v>3.6</v>
      </c>
      <c r="J36" s="8">
        <f t="shared" si="3"/>
        <v>0.1149425287356322</v>
      </c>
      <c r="K36" s="8">
        <f t="shared" si="4"/>
        <v>1.2853470437017995E-2</v>
      </c>
      <c r="L36" s="8">
        <f t="shared" si="5"/>
        <v>0.27777777777777779</v>
      </c>
      <c r="M36" s="8">
        <f t="shared" si="6"/>
        <v>0.88505747126436785</v>
      </c>
      <c r="N36" s="8">
        <f t="shared" si="7"/>
        <v>0.87220400082734983</v>
      </c>
      <c r="O36" s="8">
        <f t="shared" si="8"/>
        <v>5.316295376597566E-4</v>
      </c>
      <c r="P36" s="8">
        <f t="shared" si="9"/>
        <v>1881.0091034482755</v>
      </c>
      <c r="Q36" s="10">
        <f t="shared" si="10"/>
        <v>1.6473024457305243</v>
      </c>
    </row>
    <row r="37" spans="1:17">
      <c r="A37" s="5">
        <v>3</v>
      </c>
      <c r="B37" s="5">
        <v>5</v>
      </c>
      <c r="C37" s="5">
        <v>6</v>
      </c>
      <c r="D37" s="8">
        <v>4979.6000000000004</v>
      </c>
      <c r="E37" s="11">
        <f t="shared" si="2"/>
        <v>2.0081934291910997E-4</v>
      </c>
      <c r="F37" s="8">
        <f t="shared" si="0"/>
        <v>2.3655668086827868</v>
      </c>
      <c r="G37" s="8">
        <f>_xlfn.XLOOKUP(A37,'AYR RACE 7 - WIN'!B:B,'AYR RACE 7 - WIN'!D:D)</f>
        <v>8.6999999999999993</v>
      </c>
      <c r="H37" s="8">
        <f>_xlfn.XLOOKUP(B37,'AYR RACE 7 - WIN'!B:B,'AYR RACE 7 - WIN'!D:D)</f>
        <v>77.8</v>
      </c>
      <c r="I37" s="8">
        <f>_xlfn.XLOOKUP(C37,'AYR RACE 7 - WIN'!B:B,'AYR RACE 7 - WIN'!D:D)</f>
        <v>48.1</v>
      </c>
      <c r="J37" s="8">
        <f t="shared" si="3"/>
        <v>0.1149425287356322</v>
      </c>
      <c r="K37" s="8">
        <f t="shared" si="4"/>
        <v>1.2853470437017995E-2</v>
      </c>
      <c r="L37" s="8">
        <f t="shared" si="5"/>
        <v>2.0790020790020788E-2</v>
      </c>
      <c r="M37" s="8">
        <f t="shared" si="6"/>
        <v>0.88505747126436785</v>
      </c>
      <c r="N37" s="8">
        <f t="shared" si="7"/>
        <v>0.87220400082734983</v>
      </c>
      <c r="O37" s="8">
        <f t="shared" si="8"/>
        <v>3.9789320905927721E-5</v>
      </c>
      <c r="P37" s="8">
        <f t="shared" si="9"/>
        <v>25132.371632183909</v>
      </c>
      <c r="Q37" s="10">
        <f t="shared" si="10"/>
        <v>-0.80186509761684233</v>
      </c>
    </row>
    <row r="38" spans="1:17">
      <c r="A38" s="5">
        <v>3</v>
      </c>
      <c r="B38" s="5">
        <v>5</v>
      </c>
      <c r="C38" s="5">
        <v>7</v>
      </c>
      <c r="D38" s="8">
        <v>4979.6000000000004</v>
      </c>
      <c r="E38" s="11">
        <f t="shared" si="2"/>
        <v>2.0081934291910997E-4</v>
      </c>
      <c r="F38" s="8">
        <f t="shared" si="0"/>
        <v>2.3655668086827868</v>
      </c>
      <c r="G38" s="8">
        <f>_xlfn.XLOOKUP(A38,'AYR RACE 7 - WIN'!B:B,'AYR RACE 7 - WIN'!D:D)</f>
        <v>8.6999999999999993</v>
      </c>
      <c r="H38" s="8">
        <f>_xlfn.XLOOKUP(B38,'AYR RACE 7 - WIN'!B:B,'AYR RACE 7 - WIN'!D:D)</f>
        <v>77.8</v>
      </c>
      <c r="I38" s="8">
        <f>_xlfn.XLOOKUP(C38,'AYR RACE 7 - WIN'!B:B,'AYR RACE 7 - WIN'!D:D)</f>
        <v>4.2</v>
      </c>
      <c r="J38" s="8">
        <f t="shared" si="3"/>
        <v>0.1149425287356322</v>
      </c>
      <c r="K38" s="8">
        <f t="shared" si="4"/>
        <v>1.2853470437017995E-2</v>
      </c>
      <c r="L38" s="8">
        <f t="shared" si="5"/>
        <v>0.23809523809523808</v>
      </c>
      <c r="M38" s="8">
        <f t="shared" si="6"/>
        <v>0.88505747126436785</v>
      </c>
      <c r="N38" s="8">
        <f t="shared" si="7"/>
        <v>0.87220400082734983</v>
      </c>
      <c r="O38" s="8">
        <f t="shared" si="8"/>
        <v>4.5568246085121988E-4</v>
      </c>
      <c r="P38" s="8">
        <f t="shared" si="9"/>
        <v>2194.5106206896553</v>
      </c>
      <c r="Q38" s="10">
        <f t="shared" si="10"/>
        <v>1.2691163820547344</v>
      </c>
    </row>
    <row r="39" spans="1:17">
      <c r="A39" s="5">
        <v>3</v>
      </c>
      <c r="B39" s="5">
        <v>5</v>
      </c>
      <c r="C39" s="5">
        <v>9</v>
      </c>
      <c r="D39" s="8">
        <v>4979.6000000000004</v>
      </c>
      <c r="E39" s="11">
        <f t="shared" si="2"/>
        <v>2.0081934291910997E-4</v>
      </c>
      <c r="F39" s="8">
        <f t="shared" si="0"/>
        <v>2.3655668086827868</v>
      </c>
      <c r="G39" s="8">
        <f>_xlfn.XLOOKUP(A39,'AYR RACE 7 - WIN'!B:B,'AYR RACE 7 - WIN'!D:D)</f>
        <v>8.6999999999999993</v>
      </c>
      <c r="H39" s="8">
        <f>_xlfn.XLOOKUP(B39,'AYR RACE 7 - WIN'!B:B,'AYR RACE 7 - WIN'!D:D)</f>
        <v>77.8</v>
      </c>
      <c r="I39" s="8">
        <f>_xlfn.XLOOKUP(C39,'AYR RACE 7 - WIN'!B:B,'AYR RACE 7 - WIN'!D:D)</f>
        <v>19.8</v>
      </c>
      <c r="J39" s="8">
        <f t="shared" si="3"/>
        <v>0.1149425287356322</v>
      </c>
      <c r="K39" s="8">
        <f t="shared" si="4"/>
        <v>1.2853470437017995E-2</v>
      </c>
      <c r="L39" s="8">
        <f t="shared" si="5"/>
        <v>5.0505050505050504E-2</v>
      </c>
      <c r="M39" s="8">
        <f t="shared" si="6"/>
        <v>0.88505747126436785</v>
      </c>
      <c r="N39" s="8">
        <f t="shared" si="7"/>
        <v>0.87220400082734983</v>
      </c>
      <c r="O39" s="8">
        <f t="shared" si="8"/>
        <v>9.6659915938137562E-5</v>
      </c>
      <c r="P39" s="8">
        <f t="shared" si="9"/>
        <v>10345.550068965516</v>
      </c>
      <c r="Q39" s="10">
        <f t="shared" si="10"/>
        <v>-0.5186722825944502</v>
      </c>
    </row>
    <row r="40" spans="1:17">
      <c r="A40" s="5">
        <v>3</v>
      </c>
      <c r="B40" s="5">
        <v>5</v>
      </c>
      <c r="C40" s="5">
        <v>10</v>
      </c>
      <c r="D40" s="8">
        <v>4979.6000000000004</v>
      </c>
      <c r="E40" s="11">
        <f t="shared" si="2"/>
        <v>2.0081934291910997E-4</v>
      </c>
      <c r="F40" s="8">
        <f t="shared" si="0"/>
        <v>2.3655668086827868</v>
      </c>
      <c r="G40" s="8">
        <f>_xlfn.XLOOKUP(A40,'AYR RACE 7 - WIN'!B:B,'AYR RACE 7 - WIN'!D:D)</f>
        <v>8.6999999999999993</v>
      </c>
      <c r="H40" s="8">
        <f>_xlfn.XLOOKUP(B40,'AYR RACE 7 - WIN'!B:B,'AYR RACE 7 - WIN'!D:D)</f>
        <v>77.8</v>
      </c>
      <c r="I40" s="8">
        <f>_xlfn.XLOOKUP(C40,'AYR RACE 7 - WIN'!B:B,'AYR RACE 7 - WIN'!D:D)</f>
        <v>17.5</v>
      </c>
      <c r="J40" s="8">
        <f t="shared" si="3"/>
        <v>0.1149425287356322</v>
      </c>
      <c r="K40" s="8">
        <f t="shared" si="4"/>
        <v>1.2853470437017995E-2</v>
      </c>
      <c r="L40" s="8">
        <f t="shared" si="5"/>
        <v>5.7142857142857141E-2</v>
      </c>
      <c r="M40" s="8">
        <f t="shared" si="6"/>
        <v>0.88505747126436785</v>
      </c>
      <c r="N40" s="8">
        <f t="shared" si="7"/>
        <v>0.87220400082734983</v>
      </c>
      <c r="O40" s="8">
        <f t="shared" si="8"/>
        <v>1.0936379060429278E-4</v>
      </c>
      <c r="P40" s="8">
        <f t="shared" si="9"/>
        <v>9143.7942528735621</v>
      </c>
      <c r="Q40" s="10">
        <f t="shared" si="10"/>
        <v>-0.45541206830686365</v>
      </c>
    </row>
    <row r="41" spans="1:17">
      <c r="A41" s="5">
        <v>3</v>
      </c>
      <c r="B41" s="5">
        <v>5</v>
      </c>
      <c r="C41" s="5">
        <v>11</v>
      </c>
      <c r="D41" s="8">
        <v>4979.6000000000004</v>
      </c>
      <c r="E41" s="11">
        <f t="shared" si="2"/>
        <v>2.0081934291910997E-4</v>
      </c>
      <c r="F41" s="8">
        <f t="shared" si="0"/>
        <v>2.3655668086827868</v>
      </c>
      <c r="G41" s="8">
        <f>_xlfn.XLOOKUP(A41,'AYR RACE 7 - WIN'!B:B,'AYR RACE 7 - WIN'!D:D)</f>
        <v>8.6999999999999993</v>
      </c>
      <c r="H41" s="8">
        <f>_xlfn.XLOOKUP(B41,'AYR RACE 7 - WIN'!B:B,'AYR RACE 7 - WIN'!D:D)</f>
        <v>77.8</v>
      </c>
      <c r="I41" s="8">
        <f>_xlfn.XLOOKUP(C41,'AYR RACE 7 - WIN'!B:B,'AYR RACE 7 - WIN'!D:D)</f>
        <v>28.8</v>
      </c>
      <c r="J41" s="8">
        <f t="shared" si="3"/>
        <v>0.1149425287356322</v>
      </c>
      <c r="K41" s="8">
        <f t="shared" si="4"/>
        <v>1.2853470437017995E-2</v>
      </c>
      <c r="L41" s="8">
        <f t="shared" si="5"/>
        <v>3.4722222222222224E-2</v>
      </c>
      <c r="M41" s="8">
        <f t="shared" si="6"/>
        <v>0.88505747126436785</v>
      </c>
      <c r="N41" s="8">
        <f t="shared" si="7"/>
        <v>0.87220400082734983</v>
      </c>
      <c r="O41" s="8">
        <f t="shared" si="8"/>
        <v>6.6453692207469575E-5</v>
      </c>
      <c r="P41" s="8">
        <f t="shared" si="9"/>
        <v>15048.072827586204</v>
      </c>
      <c r="Q41" s="10">
        <f t="shared" si="10"/>
        <v>-0.66908719428368446</v>
      </c>
    </row>
    <row r="42" spans="1:17">
      <c r="A42" s="5">
        <v>3</v>
      </c>
      <c r="B42" s="5">
        <v>6</v>
      </c>
      <c r="C42" s="5">
        <v>5</v>
      </c>
      <c r="D42" s="8">
        <v>4979.6000000000004</v>
      </c>
      <c r="E42" s="11">
        <f t="shared" si="2"/>
        <v>2.0081934291910997E-4</v>
      </c>
      <c r="F42" s="8">
        <f t="shared" si="0"/>
        <v>2.3655668086827868</v>
      </c>
      <c r="G42" s="8">
        <f>_xlfn.XLOOKUP(A42,'AYR RACE 7 - WIN'!B:B,'AYR RACE 7 - WIN'!D:D)</f>
        <v>8.6999999999999993</v>
      </c>
      <c r="H42" s="8">
        <f>_xlfn.XLOOKUP(B42,'AYR RACE 7 - WIN'!B:B,'AYR RACE 7 - WIN'!D:D)</f>
        <v>48.1</v>
      </c>
      <c r="I42" s="8">
        <f>_xlfn.XLOOKUP(C42,'AYR RACE 7 - WIN'!B:B,'AYR RACE 7 - WIN'!D:D)</f>
        <v>77.8</v>
      </c>
      <c r="J42" s="8">
        <f t="shared" si="3"/>
        <v>0.1149425287356322</v>
      </c>
      <c r="K42" s="8">
        <f t="shared" si="4"/>
        <v>2.0790020790020788E-2</v>
      </c>
      <c r="L42" s="8">
        <f t="shared" si="5"/>
        <v>1.2853470437017995E-2</v>
      </c>
      <c r="M42" s="8">
        <f t="shared" si="6"/>
        <v>0.88505747126436785</v>
      </c>
      <c r="N42" s="8">
        <f t="shared" si="7"/>
        <v>0.86426745047434705</v>
      </c>
      <c r="O42" s="8">
        <f t="shared" si="8"/>
        <v>4.0154705427476418E-5</v>
      </c>
      <c r="P42" s="8">
        <f t="shared" si="9"/>
        <v>24903.681632183911</v>
      </c>
      <c r="Q42" s="10">
        <f t="shared" si="10"/>
        <v>-0.80004562885333841</v>
      </c>
    </row>
    <row r="43" spans="1:17">
      <c r="A43" s="5">
        <v>3</v>
      </c>
      <c r="B43" s="5">
        <v>9</v>
      </c>
      <c r="C43" s="5">
        <v>5</v>
      </c>
      <c r="D43" s="8">
        <v>4979.6000000000004</v>
      </c>
      <c r="E43" s="11">
        <f t="shared" si="2"/>
        <v>2.0081934291910997E-4</v>
      </c>
      <c r="F43" s="8">
        <f t="shared" si="0"/>
        <v>2.3655668086827868</v>
      </c>
      <c r="G43" s="8">
        <f>_xlfn.XLOOKUP(A43,'AYR RACE 7 - WIN'!B:B,'AYR RACE 7 - WIN'!D:D)</f>
        <v>8.6999999999999993</v>
      </c>
      <c r="H43" s="8">
        <f>_xlfn.XLOOKUP(B43,'AYR RACE 7 - WIN'!B:B,'AYR RACE 7 - WIN'!D:D)</f>
        <v>19.8</v>
      </c>
      <c r="I43" s="8">
        <f>_xlfn.XLOOKUP(C43,'AYR RACE 7 - WIN'!B:B,'AYR RACE 7 - WIN'!D:D)</f>
        <v>77.8</v>
      </c>
      <c r="J43" s="8">
        <f t="shared" si="3"/>
        <v>0.1149425287356322</v>
      </c>
      <c r="K43" s="8">
        <f t="shared" si="4"/>
        <v>5.0505050505050504E-2</v>
      </c>
      <c r="L43" s="8">
        <f t="shared" si="5"/>
        <v>1.2853470437017995E-2</v>
      </c>
      <c r="M43" s="8">
        <f t="shared" si="6"/>
        <v>0.88505747126436785</v>
      </c>
      <c r="N43" s="8">
        <f t="shared" si="7"/>
        <v>0.83455242075931735</v>
      </c>
      <c r="O43" s="8">
        <f t="shared" si="8"/>
        <v>1.0102081463519336E-4</v>
      </c>
      <c r="P43" s="8">
        <f t="shared" si="9"/>
        <v>9898.950068965516</v>
      </c>
      <c r="Q43" s="10">
        <f t="shared" si="10"/>
        <v>-0.4969567514425911</v>
      </c>
    </row>
    <row r="44" spans="1:17">
      <c r="A44" s="5">
        <v>3</v>
      </c>
      <c r="B44" s="5">
        <v>11</v>
      </c>
      <c r="C44" s="5">
        <v>5</v>
      </c>
      <c r="D44" s="8">
        <v>4979.6000000000004</v>
      </c>
      <c r="E44" s="11">
        <f t="shared" si="2"/>
        <v>2.0081934291910997E-4</v>
      </c>
      <c r="F44" s="8">
        <f t="shared" si="0"/>
        <v>2.3655668086827868</v>
      </c>
      <c r="G44" s="8">
        <f>_xlfn.XLOOKUP(A44,'AYR RACE 7 - WIN'!B:B,'AYR RACE 7 - WIN'!D:D)</f>
        <v>8.6999999999999993</v>
      </c>
      <c r="H44" s="8">
        <f>_xlfn.XLOOKUP(B44,'AYR RACE 7 - WIN'!B:B,'AYR RACE 7 - WIN'!D:D)</f>
        <v>28.8</v>
      </c>
      <c r="I44" s="8">
        <f>_xlfn.XLOOKUP(C44,'AYR RACE 7 - WIN'!B:B,'AYR RACE 7 - WIN'!D:D)</f>
        <v>77.8</v>
      </c>
      <c r="J44" s="8">
        <f t="shared" si="3"/>
        <v>0.1149425287356322</v>
      </c>
      <c r="K44" s="8">
        <f t="shared" si="4"/>
        <v>3.4722222222222224E-2</v>
      </c>
      <c r="L44" s="8">
        <f t="shared" si="5"/>
        <v>1.2853470437017995E-2</v>
      </c>
      <c r="M44" s="8">
        <f t="shared" si="6"/>
        <v>0.88505747126436785</v>
      </c>
      <c r="N44" s="8">
        <f t="shared" si="7"/>
        <v>0.85033524904214564</v>
      </c>
      <c r="O44" s="8">
        <f t="shared" si="8"/>
        <v>6.8162734966466717E-5</v>
      </c>
      <c r="P44" s="8">
        <f t="shared" si="9"/>
        <v>14670.772827586205</v>
      </c>
      <c r="Q44" s="10">
        <f t="shared" si="10"/>
        <v>-0.66057684496098235</v>
      </c>
    </row>
    <row r="45" spans="1:17">
      <c r="A45" s="5">
        <v>5</v>
      </c>
      <c r="B45" s="5">
        <v>3</v>
      </c>
      <c r="C45" s="5">
        <v>2</v>
      </c>
      <c r="D45" s="8">
        <v>4979.6000000000004</v>
      </c>
      <c r="E45" s="11">
        <f t="shared" si="2"/>
        <v>2.0081934291910997E-4</v>
      </c>
      <c r="F45" s="8">
        <f t="shared" si="0"/>
        <v>2.3655668086827868</v>
      </c>
      <c r="G45" s="8">
        <f>_xlfn.XLOOKUP(A45,'AYR RACE 7 - WIN'!B:B,'AYR RACE 7 - WIN'!D:D)</f>
        <v>77.8</v>
      </c>
      <c r="H45" s="8">
        <f>_xlfn.XLOOKUP(B45,'AYR RACE 7 - WIN'!B:B,'AYR RACE 7 - WIN'!D:D)</f>
        <v>8.6999999999999993</v>
      </c>
      <c r="I45" s="8">
        <f>_xlfn.XLOOKUP(C45,'AYR RACE 7 - WIN'!B:B,'AYR RACE 7 - WIN'!D:D)</f>
        <v>3.6</v>
      </c>
      <c r="J45" s="8">
        <f t="shared" si="3"/>
        <v>1.2853470437017995E-2</v>
      </c>
      <c r="K45" s="8">
        <f t="shared" si="4"/>
        <v>0.1149425287356322</v>
      </c>
      <c r="L45" s="8">
        <f t="shared" si="5"/>
        <v>0.27777777777777779</v>
      </c>
      <c r="M45" s="8">
        <f t="shared" si="6"/>
        <v>0.98714652956298199</v>
      </c>
      <c r="N45" s="8">
        <f t="shared" si="7"/>
        <v>0.87220400082734983</v>
      </c>
      <c r="O45" s="8">
        <f t="shared" si="8"/>
        <v>4.7664929183197709E-4</v>
      </c>
      <c r="P45" s="8">
        <f t="shared" si="9"/>
        <v>2097.978570694087</v>
      </c>
      <c r="Q45" s="10">
        <f t="shared" si="10"/>
        <v>1.3735228136065132</v>
      </c>
    </row>
    <row r="46" spans="1:17">
      <c r="A46" s="5">
        <v>5</v>
      </c>
      <c r="B46" s="5">
        <v>3</v>
      </c>
      <c r="C46" s="5">
        <v>6</v>
      </c>
      <c r="D46" s="8">
        <v>4979.6000000000004</v>
      </c>
      <c r="E46" s="11">
        <f t="shared" si="2"/>
        <v>2.0081934291910997E-4</v>
      </c>
      <c r="F46" s="8">
        <f t="shared" si="0"/>
        <v>2.3655668086827868</v>
      </c>
      <c r="G46" s="8">
        <f>_xlfn.XLOOKUP(A46,'AYR RACE 7 - WIN'!B:B,'AYR RACE 7 - WIN'!D:D)</f>
        <v>77.8</v>
      </c>
      <c r="H46" s="8">
        <f>_xlfn.XLOOKUP(B46,'AYR RACE 7 - WIN'!B:B,'AYR RACE 7 - WIN'!D:D)</f>
        <v>8.6999999999999993</v>
      </c>
      <c r="I46" s="8">
        <f>_xlfn.XLOOKUP(C46,'AYR RACE 7 - WIN'!B:B,'AYR RACE 7 - WIN'!D:D)</f>
        <v>48.1</v>
      </c>
      <c r="J46" s="8">
        <f t="shared" si="3"/>
        <v>1.2853470437017995E-2</v>
      </c>
      <c r="K46" s="8">
        <f t="shared" si="4"/>
        <v>0.1149425287356322</v>
      </c>
      <c r="L46" s="8">
        <f t="shared" si="5"/>
        <v>2.0790020790020788E-2</v>
      </c>
      <c r="M46" s="8">
        <f t="shared" si="6"/>
        <v>0.98714652956298199</v>
      </c>
      <c r="N46" s="8">
        <f t="shared" si="7"/>
        <v>0.87220400082734983</v>
      </c>
      <c r="O46" s="8">
        <f t="shared" si="8"/>
        <v>3.5674375272247763E-5</v>
      </c>
      <c r="P46" s="8">
        <f t="shared" si="9"/>
        <v>28031.324791773775</v>
      </c>
      <c r="Q46" s="10">
        <f t="shared" si="10"/>
        <v>-0.82235588089431499</v>
      </c>
    </row>
    <row r="47" spans="1:17">
      <c r="A47" s="5">
        <v>5</v>
      </c>
      <c r="B47" s="5">
        <v>3</v>
      </c>
      <c r="C47" s="5">
        <v>9</v>
      </c>
      <c r="D47" s="8">
        <v>4979.6000000000004</v>
      </c>
      <c r="E47" s="11">
        <f t="shared" si="2"/>
        <v>2.0081934291910997E-4</v>
      </c>
      <c r="F47" s="8">
        <f t="shared" si="0"/>
        <v>2.3655668086827868</v>
      </c>
      <c r="G47" s="8">
        <f>_xlfn.XLOOKUP(A47,'AYR RACE 7 - WIN'!B:B,'AYR RACE 7 - WIN'!D:D)</f>
        <v>77.8</v>
      </c>
      <c r="H47" s="8">
        <f>_xlfn.XLOOKUP(B47,'AYR RACE 7 - WIN'!B:B,'AYR RACE 7 - WIN'!D:D)</f>
        <v>8.6999999999999993</v>
      </c>
      <c r="I47" s="8">
        <f>_xlfn.XLOOKUP(C47,'AYR RACE 7 - WIN'!B:B,'AYR RACE 7 - WIN'!D:D)</f>
        <v>19.8</v>
      </c>
      <c r="J47" s="8">
        <f t="shared" si="3"/>
        <v>1.2853470437017995E-2</v>
      </c>
      <c r="K47" s="8">
        <f t="shared" si="4"/>
        <v>0.1149425287356322</v>
      </c>
      <c r="L47" s="8">
        <f t="shared" si="5"/>
        <v>5.0505050505050504E-2</v>
      </c>
      <c r="M47" s="8">
        <f t="shared" si="6"/>
        <v>0.98714652956298199</v>
      </c>
      <c r="N47" s="8">
        <f t="shared" si="7"/>
        <v>0.87220400082734983</v>
      </c>
      <c r="O47" s="8">
        <f t="shared" si="8"/>
        <v>8.666350760581401E-5</v>
      </c>
      <c r="P47" s="8">
        <f t="shared" si="9"/>
        <v>11538.882138817478</v>
      </c>
      <c r="Q47" s="10">
        <f t="shared" si="10"/>
        <v>-0.5684503975260885</v>
      </c>
    </row>
    <row r="48" spans="1:17">
      <c r="E48" s="11"/>
      <c r="Q48" s="10"/>
    </row>
    <row r="49" spans="5:17">
      <c r="E49" s="11"/>
      <c r="Q49" s="10"/>
    </row>
    <row r="50" spans="5:17">
      <c r="E50" s="11"/>
      <c r="Q50" s="10"/>
    </row>
    <row r="51" spans="5:17">
      <c r="E51" s="11"/>
      <c r="Q51" s="10"/>
    </row>
    <row r="52" spans="5:17">
      <c r="E52" s="11"/>
      <c r="Q52" s="10"/>
    </row>
    <row r="53" spans="5:17">
      <c r="E53" s="11"/>
      <c r="Q53" s="10"/>
    </row>
    <row r="54" spans="5:17">
      <c r="E54" s="11"/>
      <c r="Q54" s="10"/>
    </row>
    <row r="55" spans="5:17">
      <c r="E55" s="11"/>
      <c r="Q55" s="10"/>
    </row>
    <row r="56" spans="5:17">
      <c r="E56" s="11"/>
      <c r="Q56" s="10"/>
    </row>
    <row r="57" spans="5:17">
      <c r="E57" s="11"/>
      <c r="Q57" s="10"/>
    </row>
    <row r="58" spans="5:17">
      <c r="E58" s="11"/>
      <c r="Q58" s="10"/>
    </row>
    <row r="59" spans="5:17">
      <c r="E59" s="11"/>
      <c r="Q59" s="10"/>
    </row>
    <row r="60" spans="5:17">
      <c r="E60" s="11"/>
      <c r="Q60" s="10"/>
    </row>
    <row r="61" spans="5:17">
      <c r="E61" s="11"/>
      <c r="Q61" s="10"/>
    </row>
    <row r="62" spans="5:17">
      <c r="E62" s="11"/>
      <c r="Q62" s="10"/>
    </row>
    <row r="63" spans="5:17">
      <c r="E63" s="11"/>
      <c r="Q63" s="10"/>
    </row>
    <row r="64" spans="5:17">
      <c r="E64" s="11"/>
      <c r="Q64" s="10"/>
    </row>
    <row r="65" spans="5:17">
      <c r="E65" s="11"/>
      <c r="Q65" s="10"/>
    </row>
    <row r="66" spans="5:17">
      <c r="E66" s="11"/>
      <c r="Q66" s="10"/>
    </row>
    <row r="67" spans="5:17">
      <c r="E67" s="11"/>
      <c r="Q67" s="10"/>
    </row>
    <row r="68" spans="5:17">
      <c r="E68" s="11"/>
      <c r="Q68" s="10"/>
    </row>
    <row r="69" spans="5:17">
      <c r="E69" s="11"/>
      <c r="Q69" s="10"/>
    </row>
    <row r="70" spans="5:17">
      <c r="E70" s="11"/>
      <c r="Q70" s="10"/>
    </row>
    <row r="71" spans="5:17">
      <c r="E71" s="11"/>
      <c r="Q71" s="10"/>
    </row>
    <row r="72" spans="5:17">
      <c r="E72" s="11"/>
      <c r="Q72" s="10"/>
    </row>
    <row r="73" spans="5:17">
      <c r="E73" s="11"/>
      <c r="Q73" s="10"/>
    </row>
    <row r="74" spans="5:17">
      <c r="E74" s="11"/>
      <c r="Q74" s="10"/>
    </row>
    <row r="75" spans="5:17">
      <c r="E75" s="11"/>
      <c r="Q75" s="10"/>
    </row>
    <row r="76" spans="5:17">
      <c r="E76" s="11"/>
      <c r="Q76" s="10"/>
    </row>
    <row r="77" spans="5:17">
      <c r="E77" s="11"/>
      <c r="Q77" s="10"/>
    </row>
    <row r="78" spans="5:17">
      <c r="E78" s="11"/>
      <c r="Q78" s="10"/>
    </row>
    <row r="79" spans="5:17">
      <c r="E79" s="11"/>
      <c r="Q79" s="10"/>
    </row>
    <row r="80" spans="5:17">
      <c r="E80" s="11"/>
      <c r="Q8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AYR RACE 7 - WIN</vt:lpstr>
      <vt:lpstr>AYR RACE 7 -EXACTA</vt:lpstr>
      <vt:lpstr>AYR RACE 7 -TRIFECT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Withers</dc:creator>
  <cp:lastModifiedBy>Dave Withers</cp:lastModifiedBy>
  <dcterms:created xsi:type="dcterms:W3CDTF">2026-02-02T07:12:53Z</dcterms:created>
  <dcterms:modified xsi:type="dcterms:W3CDTF">2026-02-02T10:05:00Z</dcterms:modified>
</cp:coreProperties>
</file>